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FATE\Documents\ProgrammingDevelopment\AttitudeSat\data\20230904\"/>
    </mc:Choice>
  </mc:AlternateContent>
  <xr:revisionPtr revIDLastSave="0" documentId="13_ncr:1_{AD8A237D-E8F4-4712-8FCC-B3F201E11EE6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att6" sheetId="1" r:id="rId1"/>
    <sheet name="att7" sheetId="2" r:id="rId2"/>
    <sheet name="att9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F5" i="3"/>
  <c r="F4" i="2"/>
  <c r="H2" i="1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3" i="3"/>
  <c r="D274" i="3"/>
  <c r="D276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18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65" i="3"/>
  <c r="D166" i="3"/>
  <c r="D167" i="3"/>
  <c r="D168" i="3"/>
  <c r="D169" i="3"/>
  <c r="D170" i="3"/>
  <c r="D171" i="3"/>
  <c r="D172" i="3"/>
  <c r="D173" i="3"/>
  <c r="D174" i="3"/>
  <c r="D175" i="3"/>
  <c r="D177" i="3"/>
  <c r="D178" i="3"/>
  <c r="D179" i="3"/>
  <c r="D2" i="3"/>
  <c r="D2" i="2"/>
  <c r="D98" i="2"/>
  <c r="D99" i="2"/>
  <c r="D100" i="2"/>
  <c r="D101" i="2"/>
  <c r="D102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9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53" i="2"/>
  <c r="D85" i="2"/>
  <c r="D86" i="2"/>
  <c r="D87" i="2"/>
  <c r="D88" i="2"/>
  <c r="D89" i="2"/>
  <c r="D90" i="2"/>
  <c r="D91" i="2"/>
  <c r="D92" i="2"/>
  <c r="D93" i="2"/>
  <c r="D94" i="2"/>
  <c r="D95" i="2"/>
  <c r="D96" i="2"/>
  <c r="E2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1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107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107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F7" i="2" l="1"/>
  <c r="H2" i="3"/>
  <c r="I18" i="3" s="1"/>
  <c r="I280" i="3"/>
  <c r="I256" i="3"/>
  <c r="I224" i="3"/>
  <c r="I176" i="3"/>
  <c r="I289" i="3"/>
  <c r="I257" i="3"/>
  <c r="I225" i="3"/>
  <c r="I209" i="3"/>
  <c r="I177" i="3"/>
  <c r="K177" i="3" s="1"/>
  <c r="I81" i="3"/>
  <c r="I65" i="3"/>
  <c r="I33" i="3"/>
  <c r="I112" i="3"/>
  <c r="I80" i="3"/>
  <c r="I175" i="3"/>
  <c r="I159" i="3"/>
  <c r="I143" i="3"/>
  <c r="I127" i="3"/>
  <c r="I111" i="3"/>
  <c r="I95" i="3"/>
  <c r="I63" i="3"/>
  <c r="I47" i="3"/>
  <c r="I15" i="3"/>
  <c r="I174" i="3"/>
  <c r="I126" i="3"/>
  <c r="I110" i="3"/>
  <c r="I94" i="3"/>
  <c r="I46" i="3"/>
  <c r="I14" i="3"/>
  <c r="I205" i="3"/>
  <c r="I125" i="3"/>
  <c r="I45" i="3"/>
  <c r="I284" i="3"/>
  <c r="I268" i="3"/>
  <c r="I252" i="3"/>
  <c r="I220" i="3"/>
  <c r="I204" i="3"/>
  <c r="I60" i="3"/>
  <c r="I44" i="3"/>
  <c r="I28" i="3"/>
  <c r="I221" i="3"/>
  <c r="I141" i="3"/>
  <c r="I172" i="3"/>
  <c r="I283" i="3"/>
  <c r="I251" i="3"/>
  <c r="I203" i="3"/>
  <c r="I187" i="3"/>
  <c r="I171" i="3"/>
  <c r="I155" i="3"/>
  <c r="I139" i="3"/>
  <c r="I91" i="3"/>
  <c r="I75" i="3"/>
  <c r="I43" i="3"/>
  <c r="I254" i="3"/>
  <c r="I282" i="3"/>
  <c r="I250" i="3"/>
  <c r="I234" i="3"/>
  <c r="I218" i="3"/>
  <c r="I202" i="3"/>
  <c r="I186" i="3"/>
  <c r="I154" i="3"/>
  <c r="I138" i="3"/>
  <c r="I122" i="3"/>
  <c r="I42" i="3"/>
  <c r="I270" i="3"/>
  <c r="I269" i="3"/>
  <c r="I173" i="3"/>
  <c r="I109" i="3"/>
  <c r="I61" i="3"/>
  <c r="I266" i="3"/>
  <c r="I170" i="3"/>
  <c r="I281" i="3"/>
  <c r="I249" i="3"/>
  <c r="I233" i="3"/>
  <c r="I201" i="3"/>
  <c r="I153" i="3"/>
  <c r="I105" i="3"/>
  <c r="I89" i="3"/>
  <c r="I73" i="3"/>
  <c r="I41" i="3"/>
  <c r="I25" i="3"/>
  <c r="I200" i="3"/>
  <c r="I184" i="3"/>
  <c r="I152" i="3"/>
  <c r="I104" i="3"/>
  <c r="I88" i="3"/>
  <c r="I72" i="3"/>
  <c r="I56" i="3"/>
  <c r="I40" i="3"/>
  <c r="I279" i="3"/>
  <c r="I263" i="3"/>
  <c r="I231" i="3"/>
  <c r="I183" i="3"/>
  <c r="I135" i="3"/>
  <c r="I119" i="3"/>
  <c r="I103" i="3"/>
  <c r="I87" i="3"/>
  <c r="I71" i="3"/>
  <c r="I55" i="3"/>
  <c r="I39" i="3"/>
  <c r="I23" i="3"/>
  <c r="I7" i="3"/>
  <c r="I86" i="3"/>
  <c r="I134" i="3"/>
  <c r="I261" i="3"/>
  <c r="I213" i="3"/>
  <c r="I197" i="3"/>
  <c r="I181" i="3"/>
  <c r="I165" i="3"/>
  <c r="I117" i="3"/>
  <c r="I85" i="3"/>
  <c r="I53" i="3"/>
  <c r="I37" i="3"/>
  <c r="I5" i="3"/>
  <c r="I166" i="3"/>
  <c r="I277" i="3"/>
  <c r="I101" i="3"/>
  <c r="I292" i="3"/>
  <c r="I276" i="3"/>
  <c r="I244" i="3"/>
  <c r="I228" i="3"/>
  <c r="I196" i="3"/>
  <c r="I180" i="3"/>
  <c r="I148" i="3"/>
  <c r="I100" i="3"/>
  <c r="I84" i="3"/>
  <c r="I68" i="3"/>
  <c r="I52" i="3"/>
  <c r="I36" i="3"/>
  <c r="I4" i="3"/>
  <c r="I262" i="3"/>
  <c r="I54" i="3"/>
  <c r="I133" i="3"/>
  <c r="I291" i="3"/>
  <c r="I275" i="3"/>
  <c r="I259" i="3"/>
  <c r="I211" i="3"/>
  <c r="I195" i="3"/>
  <c r="I179" i="3"/>
  <c r="I163" i="3"/>
  <c r="I147" i="3"/>
  <c r="I131" i="3"/>
  <c r="I115" i="3"/>
  <c r="I99" i="3"/>
  <c r="I51" i="3"/>
  <c r="I35" i="3"/>
  <c r="I19" i="3"/>
  <c r="I3" i="3"/>
  <c r="I182" i="3"/>
  <c r="I118" i="3"/>
  <c r="I22" i="3"/>
  <c r="I245" i="3"/>
  <c r="I149" i="3"/>
  <c r="I290" i="3"/>
  <c r="I274" i="3"/>
  <c r="I258" i="3"/>
  <c r="I242" i="3"/>
  <c r="I210" i="3"/>
  <c r="I194" i="3"/>
  <c r="I162" i="3"/>
  <c r="I114" i="3"/>
  <c r="I98" i="3"/>
  <c r="I82" i="3"/>
  <c r="I66" i="3"/>
  <c r="I50" i="3"/>
  <c r="I34" i="3"/>
  <c r="G2" i="2"/>
  <c r="H3" i="2" s="1"/>
  <c r="I260" i="3" l="1"/>
  <c r="I229" i="3"/>
  <c r="I215" i="3"/>
  <c r="I57" i="3"/>
  <c r="I189" i="3"/>
  <c r="I27" i="3"/>
  <c r="I12" i="3"/>
  <c r="I62" i="3"/>
  <c r="K62" i="3" s="1"/>
  <c r="I32" i="3"/>
  <c r="I192" i="3"/>
  <c r="I64" i="3"/>
  <c r="I208" i="3"/>
  <c r="K208" i="3" s="1"/>
  <c r="I150" i="3"/>
  <c r="I8" i="3"/>
  <c r="K8" i="3" s="1"/>
  <c r="I121" i="3"/>
  <c r="I74" i="3"/>
  <c r="I107" i="3"/>
  <c r="I76" i="3"/>
  <c r="I142" i="3"/>
  <c r="I128" i="3"/>
  <c r="I178" i="3"/>
  <c r="I83" i="3"/>
  <c r="I20" i="3"/>
  <c r="K20" i="3" s="1"/>
  <c r="I38" i="3"/>
  <c r="I214" i="3"/>
  <c r="K214" i="3" s="1"/>
  <c r="I24" i="3"/>
  <c r="K24" i="3" s="1"/>
  <c r="I137" i="3"/>
  <c r="I90" i="3"/>
  <c r="I123" i="3"/>
  <c r="I156" i="3"/>
  <c r="I158" i="3"/>
  <c r="I17" i="3"/>
  <c r="K17" i="3" s="1"/>
  <c r="I285" i="3"/>
  <c r="I190" i="3"/>
  <c r="I207" i="3"/>
  <c r="I97" i="3"/>
  <c r="I216" i="3"/>
  <c r="I92" i="3"/>
  <c r="I13" i="3"/>
  <c r="I206" i="3"/>
  <c r="I223" i="3"/>
  <c r="I113" i="3"/>
  <c r="K113" i="3" s="1"/>
  <c r="I232" i="3"/>
  <c r="K232" i="3" s="1"/>
  <c r="I222" i="3"/>
  <c r="K222" i="3" s="1"/>
  <c r="I239" i="3"/>
  <c r="K239" i="3" s="1"/>
  <c r="I129" i="3"/>
  <c r="I272" i="3"/>
  <c r="I108" i="3"/>
  <c r="K108" i="3" s="1"/>
  <c r="I130" i="3"/>
  <c r="I198" i="3"/>
  <c r="I227" i="3"/>
  <c r="I116" i="3"/>
  <c r="I230" i="3"/>
  <c r="I6" i="3"/>
  <c r="I151" i="3"/>
  <c r="I120" i="3"/>
  <c r="K120" i="3" s="1"/>
  <c r="I169" i="3"/>
  <c r="K169" i="3" s="1"/>
  <c r="I10" i="3"/>
  <c r="K10" i="3" s="1"/>
  <c r="I77" i="3"/>
  <c r="K77" i="3" s="1"/>
  <c r="I219" i="3"/>
  <c r="K219" i="3" s="1"/>
  <c r="I124" i="3"/>
  <c r="I157" i="3"/>
  <c r="I238" i="3"/>
  <c r="K238" i="3" s="1"/>
  <c r="I255" i="3"/>
  <c r="K255" i="3" s="1"/>
  <c r="I145" i="3"/>
  <c r="I240" i="3"/>
  <c r="I93" i="3"/>
  <c r="I146" i="3"/>
  <c r="I246" i="3"/>
  <c r="I243" i="3"/>
  <c r="I132" i="3"/>
  <c r="I278" i="3"/>
  <c r="I70" i="3"/>
  <c r="I167" i="3"/>
  <c r="I136" i="3"/>
  <c r="I185" i="3"/>
  <c r="K185" i="3" s="1"/>
  <c r="I26" i="3"/>
  <c r="I253" i="3"/>
  <c r="K253" i="3" s="1"/>
  <c r="I235" i="3"/>
  <c r="K235" i="3" s="1"/>
  <c r="I140" i="3"/>
  <c r="I237" i="3"/>
  <c r="I286" i="3"/>
  <c r="I16" i="3"/>
  <c r="K16" i="3" s="1"/>
  <c r="I161" i="3"/>
  <c r="I248" i="3"/>
  <c r="I164" i="3"/>
  <c r="I21" i="3"/>
  <c r="I102" i="3"/>
  <c r="I199" i="3"/>
  <c r="I168" i="3"/>
  <c r="K168" i="3" s="1"/>
  <c r="I217" i="3"/>
  <c r="K217" i="3" s="1"/>
  <c r="I58" i="3"/>
  <c r="K58" i="3" s="1"/>
  <c r="I11" i="3"/>
  <c r="K11" i="3" s="1"/>
  <c r="I267" i="3"/>
  <c r="K267" i="3" s="1"/>
  <c r="I188" i="3"/>
  <c r="K188" i="3" s="1"/>
  <c r="I30" i="3"/>
  <c r="K30" i="3" s="1"/>
  <c r="I31" i="3"/>
  <c r="I48" i="3"/>
  <c r="I193" i="3"/>
  <c r="I271" i="3"/>
  <c r="I226" i="3"/>
  <c r="I67" i="3"/>
  <c r="K67" i="3" s="1"/>
  <c r="I293" i="3"/>
  <c r="I212" i="3"/>
  <c r="K212" i="3" s="1"/>
  <c r="I69" i="3"/>
  <c r="K69" i="3" s="1"/>
  <c r="I2" i="3"/>
  <c r="I247" i="3"/>
  <c r="I9" i="3"/>
  <c r="K9" i="3" s="1"/>
  <c r="I265" i="3"/>
  <c r="K265" i="3" s="1"/>
  <c r="I106" i="3"/>
  <c r="K106" i="3" s="1"/>
  <c r="I59" i="3"/>
  <c r="K59" i="3" s="1"/>
  <c r="I29" i="3"/>
  <c r="K29" i="3" s="1"/>
  <c r="I236" i="3"/>
  <c r="I78" i="3"/>
  <c r="I79" i="3"/>
  <c r="I96" i="3"/>
  <c r="I241" i="3"/>
  <c r="I264" i="3"/>
  <c r="K264" i="3" s="1"/>
  <c r="I144" i="3"/>
  <c r="I273" i="3"/>
  <c r="K273" i="3" s="1"/>
  <c r="H114" i="2"/>
  <c r="H19" i="2"/>
  <c r="H116" i="2"/>
  <c r="H6" i="2"/>
  <c r="H135" i="2"/>
  <c r="H91" i="2"/>
  <c r="H132" i="2"/>
  <c r="H107" i="2"/>
  <c r="H79" i="2"/>
  <c r="I79" i="2" s="1"/>
  <c r="H98" i="2"/>
  <c r="H13" i="2"/>
  <c r="H31" i="2"/>
  <c r="H130" i="2"/>
  <c r="H26" i="2"/>
  <c r="H42" i="2"/>
  <c r="I42" i="2" s="1"/>
  <c r="H64" i="2"/>
  <c r="I64" i="2" s="1"/>
  <c r="H35" i="2"/>
  <c r="H100" i="2"/>
  <c r="H80" i="2"/>
  <c r="I287" i="3"/>
  <c r="K287" i="3" s="1"/>
  <c r="I191" i="3"/>
  <c r="K191" i="3" s="1"/>
  <c r="I49" i="3"/>
  <c r="K49" i="3" s="1"/>
  <c r="I288" i="3"/>
  <c r="K288" i="3" s="1"/>
  <c r="I160" i="3"/>
  <c r="H96" i="2"/>
  <c r="H41" i="2"/>
  <c r="I41" i="2" s="1"/>
  <c r="H112" i="2"/>
  <c r="H33" i="2"/>
  <c r="I33" i="2" s="1"/>
  <c r="H9" i="2"/>
  <c r="H25" i="2"/>
  <c r="H90" i="2"/>
  <c r="H118" i="2"/>
  <c r="H134" i="2"/>
  <c r="H49" i="2"/>
  <c r="I49" i="2" s="1"/>
  <c r="H22" i="2"/>
  <c r="H139" i="2"/>
  <c r="H77" i="2"/>
  <c r="I77" i="2" s="1"/>
  <c r="H106" i="2"/>
  <c r="H99" i="2"/>
  <c r="H115" i="2"/>
  <c r="H121" i="2"/>
  <c r="H65" i="2"/>
  <c r="I65" i="2" s="1"/>
  <c r="H141" i="2"/>
  <c r="H38" i="2"/>
  <c r="I38" i="2" s="1"/>
  <c r="H143" i="2"/>
  <c r="H128" i="2"/>
  <c r="H24" i="2"/>
  <c r="H142" i="2"/>
  <c r="H73" i="2"/>
  <c r="H78" i="2"/>
  <c r="H40" i="2"/>
  <c r="H94" i="2"/>
  <c r="H7" i="2"/>
  <c r="H61" i="2"/>
  <c r="I61" i="2" s="1"/>
  <c r="H69" i="2"/>
  <c r="I69" i="2" s="1"/>
  <c r="H95" i="2"/>
  <c r="H4" i="2"/>
  <c r="H55" i="2"/>
  <c r="I55" i="2" s="1"/>
  <c r="H127" i="2"/>
  <c r="H97" i="2"/>
  <c r="H51" i="2"/>
  <c r="I51" i="2" s="1"/>
  <c r="H30" i="2"/>
  <c r="H5" i="2"/>
  <c r="H62" i="2"/>
  <c r="I62" i="2" s="1"/>
  <c r="H21" i="2"/>
  <c r="H17" i="2"/>
  <c r="H89" i="2"/>
  <c r="H131" i="2"/>
  <c r="H44" i="2"/>
  <c r="I44" i="2" s="1"/>
  <c r="H72" i="2"/>
  <c r="I72" i="2" s="1"/>
  <c r="H88" i="2"/>
  <c r="H113" i="2"/>
  <c r="H14" i="2"/>
  <c r="H15" i="2"/>
  <c r="H46" i="2"/>
  <c r="I46" i="2" s="1"/>
  <c r="H8" i="2"/>
  <c r="H122" i="2"/>
  <c r="H138" i="2"/>
  <c r="H28" i="2"/>
  <c r="H53" i="2"/>
  <c r="H105" i="2"/>
  <c r="H110" i="2"/>
  <c r="H23" i="2"/>
  <c r="H126" i="2"/>
  <c r="H39" i="2"/>
  <c r="I39" i="2" s="1"/>
  <c r="H50" i="2"/>
  <c r="I50" i="2" s="1"/>
  <c r="H76" i="2"/>
  <c r="I76" i="2" s="1"/>
  <c r="H20" i="2"/>
  <c r="H104" i="2"/>
  <c r="H11" i="2"/>
  <c r="H36" i="2"/>
  <c r="I36" i="2" s="1"/>
  <c r="H71" i="2"/>
  <c r="I71" i="2" s="1"/>
  <c r="H109" i="2"/>
  <c r="H108" i="2"/>
  <c r="H133" i="2"/>
  <c r="H87" i="2"/>
  <c r="H136" i="2"/>
  <c r="H63" i="2"/>
  <c r="I63" i="2" s="1"/>
  <c r="H43" i="2"/>
  <c r="H124" i="2"/>
  <c r="H16" i="2"/>
  <c r="H129" i="2"/>
  <c r="H123" i="2"/>
  <c r="H86" i="2"/>
  <c r="H67" i="2"/>
  <c r="I67" i="2" s="1"/>
  <c r="H66" i="2"/>
  <c r="I66" i="2" s="1"/>
  <c r="H83" i="2"/>
  <c r="I83" i="2" s="1"/>
  <c r="H47" i="2"/>
  <c r="I47" i="2" s="1"/>
  <c r="H12" i="2"/>
  <c r="H82" i="2"/>
  <c r="I82" i="2" s="1"/>
  <c r="H56" i="2"/>
  <c r="I56" i="2" s="1"/>
  <c r="H102" i="2"/>
  <c r="H60" i="2"/>
  <c r="H85" i="2"/>
  <c r="H137" i="2"/>
  <c r="H81" i="2"/>
  <c r="I81" i="2" s="1"/>
  <c r="H101" i="2"/>
  <c r="H45" i="2"/>
  <c r="I45" i="2" s="1"/>
  <c r="H92" i="2"/>
  <c r="H117" i="2"/>
  <c r="H120" i="2"/>
  <c r="H27" i="2"/>
  <c r="H18" i="2"/>
  <c r="H52" i="2"/>
  <c r="I52" i="2" s="1"/>
  <c r="H68" i="2"/>
  <c r="I68" i="2" s="1"/>
  <c r="H70" i="2"/>
  <c r="I70" i="2" s="1"/>
  <c r="H103" i="2"/>
  <c r="I103" i="2" s="1"/>
  <c r="H29" i="2"/>
  <c r="H34" i="2"/>
  <c r="H59" i="2"/>
  <c r="H140" i="2"/>
  <c r="H32" i="2"/>
  <c r="I32" i="2" s="1"/>
  <c r="H2" i="2"/>
  <c r="H58" i="2"/>
  <c r="I58" i="2" s="1"/>
  <c r="H74" i="2"/>
  <c r="I74" i="2" s="1"/>
  <c r="H54" i="2"/>
  <c r="I54" i="2" s="1"/>
  <c r="H57" i="2"/>
  <c r="I57" i="2" s="1"/>
  <c r="H37" i="2"/>
  <c r="I37" i="2" s="1"/>
  <c r="H84" i="2"/>
  <c r="I84" i="2" s="1"/>
  <c r="H111" i="2"/>
  <c r="H119" i="2"/>
  <c r="H125" i="2"/>
  <c r="I125" i="2" s="1"/>
  <c r="H10" i="2"/>
  <c r="H75" i="2"/>
  <c r="I75" i="2" s="1"/>
  <c r="H93" i="2"/>
  <c r="H48" i="2"/>
  <c r="I48" i="2" s="1"/>
  <c r="K85" i="3"/>
  <c r="K220" i="3"/>
  <c r="K2" i="3"/>
  <c r="K94" i="3"/>
  <c r="K293" i="3"/>
  <c r="I35" i="2"/>
  <c r="K5" i="3"/>
  <c r="K35" i="3"/>
  <c r="K179" i="3"/>
  <c r="K25" i="3"/>
  <c r="I43" i="2"/>
  <c r="I80" i="2"/>
  <c r="I59" i="2"/>
  <c r="I40" i="2"/>
  <c r="I73" i="2"/>
  <c r="K285" i="3"/>
  <c r="K231" i="3"/>
  <c r="I60" i="2"/>
  <c r="K37" i="3"/>
  <c r="I34" i="2"/>
  <c r="K73" i="3"/>
  <c r="K259" i="3"/>
  <c r="K53" i="3"/>
  <c r="K107" i="3"/>
  <c r="I78" i="2"/>
  <c r="K195" i="3"/>
  <c r="K60" i="3"/>
  <c r="K101" i="3"/>
  <c r="K198" i="3"/>
  <c r="K110" i="3"/>
  <c r="K117" i="3"/>
  <c r="K182" i="3"/>
  <c r="K26" i="3"/>
  <c r="K246" i="3"/>
  <c r="K7" i="3"/>
  <c r="K250" i="3"/>
  <c r="K34" i="3"/>
  <c r="K23" i="3"/>
  <c r="K266" i="3"/>
  <c r="K103" i="3"/>
  <c r="K282" i="3"/>
  <c r="K15" i="3"/>
  <c r="K68" i="3"/>
  <c r="K84" i="3"/>
  <c r="K119" i="3"/>
  <c r="K19" i="3"/>
  <c r="K100" i="3"/>
  <c r="K263" i="3"/>
  <c r="K91" i="3"/>
  <c r="K290" i="3"/>
  <c r="K99" i="3"/>
  <c r="K196" i="3"/>
  <c r="K28" i="3"/>
  <c r="K66" i="3"/>
  <c r="K194" i="3"/>
  <c r="K278" i="3"/>
  <c r="K6" i="3"/>
  <c r="K105" i="3"/>
  <c r="K236" i="3"/>
  <c r="K4" i="3"/>
  <c r="K22" i="3"/>
  <c r="K121" i="3"/>
  <c r="K252" i="3"/>
  <c r="K98" i="3"/>
  <c r="K291" i="3"/>
  <c r="K292" i="3"/>
  <c r="K61" i="3"/>
  <c r="K51" i="3"/>
  <c r="K261" i="3"/>
  <c r="K228" i="3"/>
  <c r="K38" i="3"/>
  <c r="K40" i="3"/>
  <c r="K249" i="3"/>
  <c r="K173" i="3"/>
  <c r="K31" i="3"/>
  <c r="K166" i="3"/>
  <c r="K260" i="3"/>
  <c r="K70" i="3"/>
  <c r="K88" i="3"/>
  <c r="K205" i="3"/>
  <c r="K276" i="3"/>
  <c r="K86" i="3"/>
  <c r="K104" i="3"/>
  <c r="K251" i="3"/>
  <c r="K221" i="3"/>
  <c r="K281" i="3"/>
  <c r="K21" i="3"/>
  <c r="K230" i="3"/>
  <c r="K74" i="3"/>
  <c r="K283" i="3"/>
  <c r="K211" i="3"/>
  <c r="K36" i="3"/>
  <c r="K165" i="3"/>
  <c r="K71" i="3"/>
  <c r="K76" i="3"/>
  <c r="K270" i="3"/>
  <c r="K227" i="3"/>
  <c r="K52" i="3"/>
  <c r="K118" i="3"/>
  <c r="K87" i="3"/>
  <c r="K280" i="3"/>
  <c r="K286" i="3"/>
  <c r="K89" i="3"/>
  <c r="K90" i="3"/>
  <c r="K75" i="3"/>
  <c r="K44" i="3"/>
  <c r="K254" i="3"/>
  <c r="K50" i="3"/>
  <c r="K65" i="3"/>
  <c r="K93" i="3"/>
  <c r="K114" i="3"/>
  <c r="K167" i="3"/>
  <c r="K170" i="3"/>
  <c r="K109" i="3"/>
  <c r="K225" i="3"/>
  <c r="K184" i="3"/>
  <c r="K115" i="3"/>
  <c r="K116" i="3"/>
  <c r="K213" i="3"/>
  <c r="K102" i="3"/>
  <c r="K183" i="3"/>
  <c r="K200" i="3"/>
  <c r="K186" i="3"/>
  <c r="K187" i="3"/>
  <c r="K172" i="3"/>
  <c r="K33" i="3"/>
  <c r="K197" i="3"/>
  <c r="K245" i="3"/>
  <c r="K199" i="3"/>
  <c r="K216" i="3"/>
  <c r="K201" i="3"/>
  <c r="K218" i="3"/>
  <c r="K203" i="3"/>
  <c r="K174" i="3"/>
  <c r="K289" i="3"/>
  <c r="K175" i="3"/>
  <c r="K229" i="3"/>
  <c r="K215" i="3"/>
  <c r="K233" i="3"/>
  <c r="K234" i="3"/>
  <c r="K204" i="3"/>
  <c r="K190" i="3"/>
  <c r="K178" i="3"/>
  <c r="K47" i="3"/>
  <c r="K241" i="3"/>
  <c r="K257" i="3"/>
  <c r="K95" i="3"/>
  <c r="K268" i="3"/>
  <c r="K237" i="3"/>
  <c r="K32" i="3"/>
  <c r="K209" i="3"/>
  <c r="K3" i="3"/>
  <c r="K39" i="3"/>
  <c r="K42" i="3"/>
  <c r="K206" i="3"/>
  <c r="K56" i="3"/>
  <c r="K41" i="3"/>
  <c r="K27" i="3"/>
  <c r="K284" i="3"/>
  <c r="K274" i="3"/>
  <c r="K243" i="3"/>
  <c r="K247" i="3"/>
  <c r="K244" i="3"/>
  <c r="K55" i="3"/>
  <c r="K72" i="3"/>
  <c r="K57" i="3"/>
  <c r="K43" i="3"/>
  <c r="K12" i="3"/>
  <c r="K189" i="3"/>
  <c r="K269" i="3"/>
  <c r="K18" i="3"/>
  <c r="K224" i="3"/>
  <c r="K96" i="3"/>
  <c r="K54" i="3"/>
  <c r="K192" i="3"/>
  <c r="K207" i="3"/>
  <c r="K271" i="3"/>
  <c r="K258" i="3"/>
  <c r="K112" i="3"/>
  <c r="K193" i="3"/>
  <c r="K256" i="3"/>
  <c r="K92" i="3"/>
  <c r="K13" i="3"/>
  <c r="K14" i="3"/>
  <c r="K48" i="3"/>
  <c r="K210" i="3"/>
  <c r="K97" i="3"/>
  <c r="K64" i="3"/>
  <c r="K226" i="3"/>
  <c r="K223" i="3"/>
  <c r="K111" i="3"/>
  <c r="K262" i="3"/>
  <c r="K279" i="3"/>
  <c r="K248" i="3"/>
  <c r="K202" i="3"/>
  <c r="K171" i="3"/>
  <c r="K45" i="3"/>
  <c r="K46" i="3"/>
  <c r="K242" i="3"/>
  <c r="K240" i="3"/>
  <c r="K63" i="3"/>
  <c r="L20" i="2" l="1"/>
  <c r="I20" i="2"/>
  <c r="L137" i="2"/>
  <c r="I137" i="2"/>
  <c r="L104" i="2"/>
  <c r="I104" i="2"/>
  <c r="L120" i="2"/>
  <c r="I120" i="2"/>
  <c r="L121" i="2"/>
  <c r="I121" i="2"/>
  <c r="L24" i="2"/>
  <c r="I24" i="2"/>
  <c r="L31" i="2"/>
  <c r="I31" i="2"/>
  <c r="L99" i="2"/>
  <c r="I99" i="2"/>
  <c r="L130" i="2"/>
  <c r="I130" i="2"/>
  <c r="I108" i="2"/>
  <c r="L108" i="2"/>
  <c r="I105" i="2"/>
  <c r="L105" i="2"/>
  <c r="L8" i="2"/>
  <c r="I8" i="2"/>
  <c r="L134" i="2"/>
  <c r="I134" i="2"/>
  <c r="L15" i="2"/>
  <c r="I15" i="2"/>
  <c r="L129" i="2"/>
  <c r="I129" i="2"/>
  <c r="L126" i="2"/>
  <c r="I126" i="2"/>
  <c r="L114" i="2"/>
  <c r="I114" i="2"/>
  <c r="I89" i="2"/>
  <c r="L89" i="2"/>
  <c r="L122" i="2"/>
  <c r="I122" i="2"/>
  <c r="L14" i="2"/>
  <c r="I14" i="2"/>
  <c r="L98" i="2"/>
  <c r="I98" i="2"/>
  <c r="L5" i="2"/>
  <c r="I5" i="2"/>
  <c r="L142" i="2"/>
  <c r="I142" i="2"/>
  <c r="L26" i="2"/>
  <c r="I26" i="2"/>
  <c r="L111" i="2"/>
  <c r="I111" i="2"/>
  <c r="L12" i="2"/>
  <c r="I12" i="2"/>
  <c r="L119" i="2"/>
  <c r="I119" i="2"/>
  <c r="L2" i="2"/>
  <c r="I2" i="2"/>
  <c r="L29" i="2"/>
  <c r="I29" i="2"/>
  <c r="L102" i="2"/>
  <c r="I102" i="2"/>
  <c r="L4" i="2"/>
  <c r="I4" i="2"/>
  <c r="L101" i="2"/>
  <c r="I101" i="2"/>
  <c r="L7" i="2"/>
  <c r="I7" i="2"/>
  <c r="I10" i="2"/>
  <c r="L10" i="2"/>
  <c r="I6" i="2"/>
  <c r="L6" i="2"/>
  <c r="L97" i="2"/>
  <c r="I97" i="2"/>
  <c r="L93" i="2"/>
  <c r="I93" i="2"/>
  <c r="N3" i="3"/>
  <c r="N2" i="3"/>
  <c r="L109" i="2"/>
  <c r="I109" i="2"/>
  <c r="L94" i="2"/>
  <c r="I94" i="2"/>
  <c r="L92" i="2"/>
  <c r="I92" i="2"/>
  <c r="L85" i="2"/>
  <c r="I85" i="2"/>
  <c r="L25" i="2"/>
  <c r="I25" i="2"/>
  <c r="L86" i="2"/>
  <c r="I86" i="2"/>
  <c r="L139" i="2"/>
  <c r="I139" i="2"/>
  <c r="L11" i="2"/>
  <c r="I11" i="2"/>
  <c r="L17" i="2"/>
  <c r="I17" i="2"/>
  <c r="L132" i="2"/>
  <c r="I132" i="2"/>
  <c r="L3" i="2"/>
  <c r="I3" i="2"/>
  <c r="L19" i="2"/>
  <c r="I19" i="2"/>
  <c r="L133" i="2"/>
  <c r="I133" i="2"/>
  <c r="L115" i="2"/>
  <c r="I115" i="2"/>
  <c r="I112" i="2"/>
  <c r="L112" i="2"/>
  <c r="L131" i="2"/>
  <c r="I131" i="2"/>
  <c r="L107" i="2"/>
  <c r="I107" i="2"/>
  <c r="L123" i="2"/>
  <c r="I123" i="2"/>
  <c r="L23" i="2"/>
  <c r="I23" i="2"/>
  <c r="L16" i="2"/>
  <c r="I16" i="2"/>
  <c r="I53" i="2"/>
  <c r="L53" i="2"/>
  <c r="I124" i="2"/>
  <c r="L124" i="2"/>
  <c r="L18" i="2"/>
  <c r="I18" i="2"/>
  <c r="L27" i="2"/>
  <c r="I27" i="2"/>
  <c r="L106" i="2"/>
  <c r="I106" i="2"/>
  <c r="I91" i="2"/>
  <c r="L91" i="2"/>
  <c r="L22" i="2"/>
  <c r="I22" i="2"/>
  <c r="L143" i="2"/>
  <c r="I143" i="2"/>
  <c r="L110" i="2"/>
  <c r="I110" i="2"/>
  <c r="L9" i="2"/>
  <c r="I9" i="2"/>
  <c r="L138" i="2"/>
  <c r="I138" i="2"/>
  <c r="L135" i="2"/>
  <c r="I135" i="2"/>
  <c r="L90" i="2"/>
  <c r="I90" i="2"/>
  <c r="L95" i="2"/>
  <c r="I95" i="2"/>
  <c r="I113" i="2"/>
  <c r="L113" i="2"/>
  <c r="L140" i="2"/>
  <c r="I140" i="2"/>
  <c r="I128" i="2"/>
  <c r="L128" i="2"/>
  <c r="L117" i="2"/>
  <c r="I117" i="2"/>
  <c r="L87" i="2"/>
  <c r="I87" i="2"/>
  <c r="L136" i="2"/>
  <c r="I136" i="2"/>
  <c r="L141" i="2"/>
  <c r="I141" i="2"/>
  <c r="L21" i="2"/>
  <c r="I21" i="2"/>
  <c r="L100" i="2"/>
  <c r="I100" i="2"/>
  <c r="L127" i="2"/>
  <c r="I127" i="2"/>
  <c r="L13" i="2"/>
  <c r="I13" i="2"/>
  <c r="L30" i="2"/>
  <c r="I30" i="2"/>
  <c r="L88" i="2"/>
  <c r="I88" i="2"/>
  <c r="L118" i="2"/>
  <c r="I118" i="2"/>
  <c r="L96" i="2"/>
  <c r="I96" i="2"/>
  <c r="L28" i="2"/>
  <c r="I28" i="2"/>
  <c r="L116" i="2"/>
  <c r="I116" i="2"/>
  <c r="N2" i="2" l="1"/>
  <c r="N3" i="2"/>
</calcChain>
</file>

<file path=xl/sharedStrings.xml><?xml version="1.0" encoding="utf-8"?>
<sst xmlns="http://schemas.openxmlformats.org/spreadsheetml/2006/main" count="28" uniqueCount="18">
  <si>
    <t>time(sec)</t>
  </si>
  <si>
    <t>pitch</t>
  </si>
  <si>
    <t>roll</t>
  </si>
  <si>
    <t>pitch line</t>
  </si>
  <si>
    <t>roll line</t>
  </si>
  <si>
    <t>prediction</t>
  </si>
  <si>
    <t>angle</t>
  </si>
  <si>
    <t>roll_360</t>
  </si>
  <si>
    <t>roll_line</t>
  </si>
  <si>
    <t>error</t>
  </si>
  <si>
    <t>17,21,21,35</t>
  </si>
  <si>
    <t>15,49,04,2</t>
  </si>
  <si>
    <t>mean</t>
  </si>
  <si>
    <t>std</t>
  </si>
  <si>
    <t>TimeStamp</t>
  </si>
  <si>
    <t>Timestamp</t>
  </si>
  <si>
    <t>Delta</t>
  </si>
  <si>
    <t>triki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</si>
</sst>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'att6'!$F$1</c:f>
              <c:strCache>
                <c:ptCount val="1"/>
                <c:pt idx="0">
                  <c:v>roll line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</c:trendlineLbl>
          </c:trendline>
          <c:xVal>
            <c:numRef>
              <c:f>'att6'!$A$2:$A$293</c:f>
              <c:numCache>
                <c:formatCode>General</c:formatCode>
                <c:ptCount val="292"/>
                <c:pt idx="0">
                  <c:v>0</c:v>
                </c:pt>
                <c:pt idx="1">
                  <c:v>3.3333333333333333E-2</c:v>
                </c:pt>
                <c:pt idx="2">
                  <c:v>6.6666666666666666E-2</c:v>
                </c:pt>
                <c:pt idx="3">
                  <c:v>0.1</c:v>
                </c:pt>
                <c:pt idx="4">
                  <c:v>0.1333333333333333</c:v>
                </c:pt>
                <c:pt idx="5">
                  <c:v>0.16666666666666671</c:v>
                </c:pt>
                <c:pt idx="6">
                  <c:v>0.2</c:v>
                </c:pt>
                <c:pt idx="7">
                  <c:v>0.23333333333333331</c:v>
                </c:pt>
                <c:pt idx="8">
                  <c:v>0.26666666666666672</c:v>
                </c:pt>
                <c:pt idx="9">
                  <c:v>0.3</c:v>
                </c:pt>
                <c:pt idx="10">
                  <c:v>0.33333333333333331</c:v>
                </c:pt>
                <c:pt idx="11">
                  <c:v>0.36666666666666659</c:v>
                </c:pt>
                <c:pt idx="12">
                  <c:v>0.4</c:v>
                </c:pt>
                <c:pt idx="13">
                  <c:v>0.43333333333333329</c:v>
                </c:pt>
                <c:pt idx="14">
                  <c:v>0.46666666666666667</c:v>
                </c:pt>
                <c:pt idx="15">
                  <c:v>0.5</c:v>
                </c:pt>
                <c:pt idx="16">
                  <c:v>0.53333333333333333</c:v>
                </c:pt>
                <c:pt idx="17">
                  <c:v>0.56666666666666665</c:v>
                </c:pt>
                <c:pt idx="18">
                  <c:v>0.6</c:v>
                </c:pt>
                <c:pt idx="19">
                  <c:v>0.6333333333333333</c:v>
                </c:pt>
                <c:pt idx="20">
                  <c:v>0.66666666666666663</c:v>
                </c:pt>
                <c:pt idx="21">
                  <c:v>0.7</c:v>
                </c:pt>
                <c:pt idx="22">
                  <c:v>0.73333333333333328</c:v>
                </c:pt>
                <c:pt idx="23">
                  <c:v>0.76666666666666661</c:v>
                </c:pt>
                <c:pt idx="24">
                  <c:v>0.8</c:v>
                </c:pt>
                <c:pt idx="25">
                  <c:v>0.83333333333333337</c:v>
                </c:pt>
                <c:pt idx="26">
                  <c:v>0.8666666666666667</c:v>
                </c:pt>
                <c:pt idx="27">
                  <c:v>0.9</c:v>
                </c:pt>
                <c:pt idx="28">
                  <c:v>0.93333333333333335</c:v>
                </c:pt>
                <c:pt idx="29">
                  <c:v>0.96666666666666667</c:v>
                </c:pt>
                <c:pt idx="30">
                  <c:v>1</c:v>
                </c:pt>
                <c:pt idx="31">
                  <c:v>1.033333333333333</c:v>
                </c:pt>
                <c:pt idx="32">
                  <c:v>1.0666666666666671</c:v>
                </c:pt>
                <c:pt idx="33">
                  <c:v>1.1000000000000001</c:v>
                </c:pt>
                <c:pt idx="34">
                  <c:v>1.1333333333333331</c:v>
                </c:pt>
                <c:pt idx="35">
                  <c:v>1.166666666666667</c:v>
                </c:pt>
                <c:pt idx="36">
                  <c:v>1.2</c:v>
                </c:pt>
                <c:pt idx="37">
                  <c:v>1.2333333333333329</c:v>
                </c:pt>
                <c:pt idx="38">
                  <c:v>1.2666666666666671</c:v>
                </c:pt>
                <c:pt idx="39">
                  <c:v>1.3</c:v>
                </c:pt>
                <c:pt idx="40">
                  <c:v>1.333333333333333</c:v>
                </c:pt>
                <c:pt idx="41">
                  <c:v>1.3666666666666669</c:v>
                </c:pt>
                <c:pt idx="42">
                  <c:v>1.4</c:v>
                </c:pt>
                <c:pt idx="43">
                  <c:v>1.4333333333333329</c:v>
                </c:pt>
                <c:pt idx="44">
                  <c:v>1.466666666666667</c:v>
                </c:pt>
                <c:pt idx="45">
                  <c:v>1.5</c:v>
                </c:pt>
                <c:pt idx="46">
                  <c:v>1.533333333333333</c:v>
                </c:pt>
                <c:pt idx="47">
                  <c:v>1.5666666666666671</c:v>
                </c:pt>
                <c:pt idx="48">
                  <c:v>1.6</c:v>
                </c:pt>
                <c:pt idx="49">
                  <c:v>1.6333333333333331</c:v>
                </c:pt>
                <c:pt idx="50">
                  <c:v>1.666666666666667</c:v>
                </c:pt>
                <c:pt idx="51">
                  <c:v>1.7</c:v>
                </c:pt>
                <c:pt idx="52">
                  <c:v>1.7333333333333329</c:v>
                </c:pt>
                <c:pt idx="53">
                  <c:v>1.7666666666666671</c:v>
                </c:pt>
                <c:pt idx="54">
                  <c:v>1.8</c:v>
                </c:pt>
                <c:pt idx="55">
                  <c:v>1.833333333333333</c:v>
                </c:pt>
                <c:pt idx="56">
                  <c:v>1.8666666666666669</c:v>
                </c:pt>
                <c:pt idx="57">
                  <c:v>1.9</c:v>
                </c:pt>
                <c:pt idx="58">
                  <c:v>1.9333333333333329</c:v>
                </c:pt>
                <c:pt idx="59">
                  <c:v>1.966666666666667</c:v>
                </c:pt>
                <c:pt idx="60">
                  <c:v>2</c:v>
                </c:pt>
                <c:pt idx="61">
                  <c:v>2.0333333333333332</c:v>
                </c:pt>
                <c:pt idx="62">
                  <c:v>2.066666666666666</c:v>
                </c:pt>
                <c:pt idx="63">
                  <c:v>2.1</c:v>
                </c:pt>
                <c:pt idx="64">
                  <c:v>2.1333333333333329</c:v>
                </c:pt>
                <c:pt idx="65">
                  <c:v>2.166666666666667</c:v>
                </c:pt>
                <c:pt idx="66">
                  <c:v>2.2000000000000002</c:v>
                </c:pt>
                <c:pt idx="67">
                  <c:v>2.2333333333333329</c:v>
                </c:pt>
                <c:pt idx="68">
                  <c:v>2.2666666666666671</c:v>
                </c:pt>
                <c:pt idx="69">
                  <c:v>2.2999999999999998</c:v>
                </c:pt>
                <c:pt idx="70">
                  <c:v>2.333333333333333</c:v>
                </c:pt>
                <c:pt idx="71">
                  <c:v>2.3666666666666671</c:v>
                </c:pt>
                <c:pt idx="72">
                  <c:v>2.4</c:v>
                </c:pt>
                <c:pt idx="73">
                  <c:v>2.4333333333333331</c:v>
                </c:pt>
                <c:pt idx="74">
                  <c:v>2.4666666666666668</c:v>
                </c:pt>
                <c:pt idx="75">
                  <c:v>2.5</c:v>
                </c:pt>
                <c:pt idx="76">
                  <c:v>2.5333333333333332</c:v>
                </c:pt>
                <c:pt idx="77">
                  <c:v>2.566666666666666</c:v>
                </c:pt>
                <c:pt idx="78">
                  <c:v>2.6</c:v>
                </c:pt>
                <c:pt idx="79">
                  <c:v>2.6333333333333329</c:v>
                </c:pt>
                <c:pt idx="80">
                  <c:v>2.666666666666667</c:v>
                </c:pt>
                <c:pt idx="81">
                  <c:v>2.7</c:v>
                </c:pt>
                <c:pt idx="82">
                  <c:v>2.7333333333333329</c:v>
                </c:pt>
                <c:pt idx="83">
                  <c:v>2.7666666666666671</c:v>
                </c:pt>
                <c:pt idx="84">
                  <c:v>2.8</c:v>
                </c:pt>
                <c:pt idx="85">
                  <c:v>2.833333333333333</c:v>
                </c:pt>
                <c:pt idx="86">
                  <c:v>2.8666666666666671</c:v>
                </c:pt>
                <c:pt idx="87">
                  <c:v>2.9</c:v>
                </c:pt>
                <c:pt idx="88">
                  <c:v>2.9333333333333331</c:v>
                </c:pt>
                <c:pt idx="89">
                  <c:v>2.9666666666666668</c:v>
                </c:pt>
                <c:pt idx="90">
                  <c:v>3</c:v>
                </c:pt>
                <c:pt idx="91">
                  <c:v>3.0333333333333332</c:v>
                </c:pt>
                <c:pt idx="92">
                  <c:v>3.066666666666666</c:v>
                </c:pt>
                <c:pt idx="93">
                  <c:v>3.1</c:v>
                </c:pt>
                <c:pt idx="94">
                  <c:v>3.1333333333333329</c:v>
                </c:pt>
                <c:pt idx="95">
                  <c:v>3.166666666666667</c:v>
                </c:pt>
                <c:pt idx="96">
                  <c:v>3.2</c:v>
                </c:pt>
                <c:pt idx="97">
                  <c:v>3.2333333333333329</c:v>
                </c:pt>
                <c:pt idx="98">
                  <c:v>3.2666666666666671</c:v>
                </c:pt>
                <c:pt idx="99">
                  <c:v>3.3</c:v>
                </c:pt>
                <c:pt idx="100">
                  <c:v>3.333333333333333</c:v>
                </c:pt>
                <c:pt idx="101">
                  <c:v>3.3666666666666671</c:v>
                </c:pt>
                <c:pt idx="102">
                  <c:v>3.4</c:v>
                </c:pt>
                <c:pt idx="103">
                  <c:v>3.4333333333333331</c:v>
                </c:pt>
                <c:pt idx="104">
                  <c:v>3.4666666666666668</c:v>
                </c:pt>
                <c:pt idx="105">
                  <c:v>3.5</c:v>
                </c:pt>
                <c:pt idx="106">
                  <c:v>3.5333333333333332</c:v>
                </c:pt>
                <c:pt idx="107">
                  <c:v>3.566666666666666</c:v>
                </c:pt>
                <c:pt idx="108">
                  <c:v>3.6</c:v>
                </c:pt>
                <c:pt idx="109">
                  <c:v>3.6333333333333329</c:v>
                </c:pt>
                <c:pt idx="110">
                  <c:v>3.666666666666667</c:v>
                </c:pt>
                <c:pt idx="111">
                  <c:v>3.7</c:v>
                </c:pt>
                <c:pt idx="112">
                  <c:v>3.7333333333333329</c:v>
                </c:pt>
                <c:pt idx="113">
                  <c:v>3.7666666666666671</c:v>
                </c:pt>
                <c:pt idx="114">
                  <c:v>3.8</c:v>
                </c:pt>
                <c:pt idx="115">
                  <c:v>3.833333333333333</c:v>
                </c:pt>
                <c:pt idx="116">
                  <c:v>3.8666666666666671</c:v>
                </c:pt>
                <c:pt idx="117">
                  <c:v>3.9</c:v>
                </c:pt>
                <c:pt idx="118">
                  <c:v>3.9333333333333331</c:v>
                </c:pt>
                <c:pt idx="119">
                  <c:v>3.9666666666666668</c:v>
                </c:pt>
                <c:pt idx="120">
                  <c:v>4</c:v>
                </c:pt>
                <c:pt idx="121">
                  <c:v>4.0333333333333332</c:v>
                </c:pt>
                <c:pt idx="122">
                  <c:v>4.0666666666666664</c:v>
                </c:pt>
                <c:pt idx="123">
                  <c:v>4.0999999999999996</c:v>
                </c:pt>
                <c:pt idx="124">
                  <c:v>4.1333333333333329</c:v>
                </c:pt>
                <c:pt idx="125">
                  <c:v>4.166666666666667</c:v>
                </c:pt>
                <c:pt idx="126">
                  <c:v>4.2</c:v>
                </c:pt>
                <c:pt idx="127">
                  <c:v>4.2333333333333334</c:v>
                </c:pt>
                <c:pt idx="128">
                  <c:v>4.2666666666666666</c:v>
                </c:pt>
                <c:pt idx="129">
                  <c:v>4.3</c:v>
                </c:pt>
                <c:pt idx="130">
                  <c:v>4.333333333333333</c:v>
                </c:pt>
                <c:pt idx="131">
                  <c:v>4.3666666666666663</c:v>
                </c:pt>
                <c:pt idx="132">
                  <c:v>4.4000000000000004</c:v>
                </c:pt>
                <c:pt idx="133">
                  <c:v>4.4333333333333336</c:v>
                </c:pt>
                <c:pt idx="134">
                  <c:v>4.4666666666666668</c:v>
                </c:pt>
                <c:pt idx="135">
                  <c:v>4.5</c:v>
                </c:pt>
                <c:pt idx="136">
                  <c:v>4.5333333333333332</c:v>
                </c:pt>
                <c:pt idx="137">
                  <c:v>4.5666666666666664</c:v>
                </c:pt>
                <c:pt idx="138">
                  <c:v>4.5999999999999996</c:v>
                </c:pt>
                <c:pt idx="139">
                  <c:v>4.6333333333333329</c:v>
                </c:pt>
                <c:pt idx="140">
                  <c:v>4.666666666666667</c:v>
                </c:pt>
                <c:pt idx="141">
                  <c:v>4.7</c:v>
                </c:pt>
                <c:pt idx="142">
                  <c:v>4.7333333333333334</c:v>
                </c:pt>
                <c:pt idx="143">
                  <c:v>4.7666666666666666</c:v>
                </c:pt>
                <c:pt idx="144">
                  <c:v>4.8</c:v>
                </c:pt>
                <c:pt idx="145">
                  <c:v>4.833333333333333</c:v>
                </c:pt>
                <c:pt idx="146">
                  <c:v>4.8666666666666663</c:v>
                </c:pt>
                <c:pt idx="147">
                  <c:v>4.9000000000000004</c:v>
                </c:pt>
                <c:pt idx="148">
                  <c:v>4.9333333333333336</c:v>
                </c:pt>
                <c:pt idx="149">
                  <c:v>4.9666666666666668</c:v>
                </c:pt>
                <c:pt idx="150">
                  <c:v>5</c:v>
                </c:pt>
                <c:pt idx="151">
                  <c:v>5.0333333333333332</c:v>
                </c:pt>
                <c:pt idx="152">
                  <c:v>5.0666666666666664</c:v>
                </c:pt>
                <c:pt idx="153">
                  <c:v>5.0999999999999996</c:v>
                </c:pt>
                <c:pt idx="154">
                  <c:v>5.1333333333333329</c:v>
                </c:pt>
                <c:pt idx="155">
                  <c:v>5.166666666666667</c:v>
                </c:pt>
                <c:pt idx="156">
                  <c:v>5.2</c:v>
                </c:pt>
                <c:pt idx="157">
                  <c:v>5.2333333333333334</c:v>
                </c:pt>
                <c:pt idx="158">
                  <c:v>5.2666666666666666</c:v>
                </c:pt>
                <c:pt idx="159">
                  <c:v>5.3</c:v>
                </c:pt>
                <c:pt idx="160">
                  <c:v>5.333333333333333</c:v>
                </c:pt>
                <c:pt idx="161">
                  <c:v>5.3666666666666663</c:v>
                </c:pt>
                <c:pt idx="162">
                  <c:v>5.4</c:v>
                </c:pt>
                <c:pt idx="163">
                  <c:v>5.4333333333333336</c:v>
                </c:pt>
                <c:pt idx="164">
                  <c:v>5.4666666666666668</c:v>
                </c:pt>
                <c:pt idx="165">
                  <c:v>5.5</c:v>
                </c:pt>
                <c:pt idx="166">
                  <c:v>5.5333333333333332</c:v>
                </c:pt>
                <c:pt idx="167">
                  <c:v>5.5666666666666664</c:v>
                </c:pt>
                <c:pt idx="168">
                  <c:v>5.6</c:v>
                </c:pt>
                <c:pt idx="169">
                  <c:v>5.6333333333333329</c:v>
                </c:pt>
                <c:pt idx="170">
                  <c:v>5.666666666666667</c:v>
                </c:pt>
                <c:pt idx="171">
                  <c:v>5.7</c:v>
                </c:pt>
                <c:pt idx="172">
                  <c:v>5.7333333333333334</c:v>
                </c:pt>
                <c:pt idx="173">
                  <c:v>5.7666666666666666</c:v>
                </c:pt>
                <c:pt idx="174">
                  <c:v>5.8</c:v>
                </c:pt>
                <c:pt idx="175">
                  <c:v>5.833333333333333</c:v>
                </c:pt>
                <c:pt idx="176">
                  <c:v>5.8666666666666663</c:v>
                </c:pt>
                <c:pt idx="177">
                  <c:v>5.9</c:v>
                </c:pt>
                <c:pt idx="178">
                  <c:v>5.9333333333333336</c:v>
                </c:pt>
                <c:pt idx="179">
                  <c:v>5.9666666666666668</c:v>
                </c:pt>
                <c:pt idx="180">
                  <c:v>6</c:v>
                </c:pt>
                <c:pt idx="181">
                  <c:v>6.0333333333333332</c:v>
                </c:pt>
                <c:pt idx="182">
                  <c:v>6.0666666666666664</c:v>
                </c:pt>
                <c:pt idx="183">
                  <c:v>6.1</c:v>
                </c:pt>
                <c:pt idx="184">
                  <c:v>6.1333333333333329</c:v>
                </c:pt>
                <c:pt idx="185">
                  <c:v>6.166666666666667</c:v>
                </c:pt>
                <c:pt idx="186">
                  <c:v>6.2</c:v>
                </c:pt>
                <c:pt idx="187">
                  <c:v>6.2333333333333334</c:v>
                </c:pt>
                <c:pt idx="188">
                  <c:v>6.2666666666666666</c:v>
                </c:pt>
                <c:pt idx="189">
                  <c:v>6.3</c:v>
                </c:pt>
                <c:pt idx="190">
                  <c:v>6.333333333333333</c:v>
                </c:pt>
                <c:pt idx="191">
                  <c:v>6.3666666666666663</c:v>
                </c:pt>
                <c:pt idx="192">
                  <c:v>6.4</c:v>
                </c:pt>
                <c:pt idx="193">
                  <c:v>6.4333333333333336</c:v>
                </c:pt>
                <c:pt idx="194">
                  <c:v>6.4666666666666668</c:v>
                </c:pt>
                <c:pt idx="195">
                  <c:v>6.5</c:v>
                </c:pt>
                <c:pt idx="196">
                  <c:v>6.5333333333333332</c:v>
                </c:pt>
                <c:pt idx="197">
                  <c:v>6.5666666666666664</c:v>
                </c:pt>
                <c:pt idx="198">
                  <c:v>6.6</c:v>
                </c:pt>
                <c:pt idx="199">
                  <c:v>6.6333333333333329</c:v>
                </c:pt>
                <c:pt idx="200">
                  <c:v>6.666666666666667</c:v>
                </c:pt>
                <c:pt idx="201">
                  <c:v>6.7</c:v>
                </c:pt>
                <c:pt idx="202">
                  <c:v>6.7333333333333334</c:v>
                </c:pt>
                <c:pt idx="203">
                  <c:v>6.7666666666666666</c:v>
                </c:pt>
                <c:pt idx="204">
                  <c:v>6.8</c:v>
                </c:pt>
                <c:pt idx="205">
                  <c:v>6.833333333333333</c:v>
                </c:pt>
                <c:pt idx="206">
                  <c:v>6.8666666666666663</c:v>
                </c:pt>
                <c:pt idx="207">
                  <c:v>6.8999999999999986</c:v>
                </c:pt>
                <c:pt idx="208">
                  <c:v>6.9333333333333336</c:v>
                </c:pt>
                <c:pt idx="209">
                  <c:v>6.9666666666666668</c:v>
                </c:pt>
                <c:pt idx="210">
                  <c:v>7</c:v>
                </c:pt>
                <c:pt idx="211">
                  <c:v>7.0333333333333332</c:v>
                </c:pt>
                <c:pt idx="212">
                  <c:v>7.0666666666666664</c:v>
                </c:pt>
                <c:pt idx="213">
                  <c:v>7.1</c:v>
                </c:pt>
                <c:pt idx="214">
                  <c:v>7.1333333333333329</c:v>
                </c:pt>
                <c:pt idx="215">
                  <c:v>7.166666666666667</c:v>
                </c:pt>
                <c:pt idx="216">
                  <c:v>7.2</c:v>
                </c:pt>
                <c:pt idx="217">
                  <c:v>7.2333333333333334</c:v>
                </c:pt>
                <c:pt idx="218">
                  <c:v>7.2666666666666666</c:v>
                </c:pt>
                <c:pt idx="219">
                  <c:v>7.3</c:v>
                </c:pt>
                <c:pt idx="220">
                  <c:v>7.333333333333333</c:v>
                </c:pt>
                <c:pt idx="221">
                  <c:v>7.3666666666666663</c:v>
                </c:pt>
                <c:pt idx="222">
                  <c:v>7.3999999999999986</c:v>
                </c:pt>
                <c:pt idx="223">
                  <c:v>7.4333333333333336</c:v>
                </c:pt>
                <c:pt idx="224">
                  <c:v>7.4666666666666668</c:v>
                </c:pt>
                <c:pt idx="225">
                  <c:v>7.5</c:v>
                </c:pt>
                <c:pt idx="226">
                  <c:v>7.5333333333333332</c:v>
                </c:pt>
                <c:pt idx="227">
                  <c:v>7.5666666666666664</c:v>
                </c:pt>
                <c:pt idx="228">
                  <c:v>7.6</c:v>
                </c:pt>
                <c:pt idx="229">
                  <c:v>7.6333333333333329</c:v>
                </c:pt>
                <c:pt idx="230">
                  <c:v>7.666666666666667</c:v>
                </c:pt>
                <c:pt idx="231">
                  <c:v>7.7</c:v>
                </c:pt>
                <c:pt idx="232">
                  <c:v>7.7333333333333334</c:v>
                </c:pt>
                <c:pt idx="233">
                  <c:v>7.7666666666666666</c:v>
                </c:pt>
                <c:pt idx="234">
                  <c:v>7.8</c:v>
                </c:pt>
                <c:pt idx="235">
                  <c:v>7.833333333333333</c:v>
                </c:pt>
                <c:pt idx="236">
                  <c:v>7.8666666666666663</c:v>
                </c:pt>
                <c:pt idx="237">
                  <c:v>7.8999999999999986</c:v>
                </c:pt>
                <c:pt idx="238">
                  <c:v>7.9333333333333336</c:v>
                </c:pt>
                <c:pt idx="239">
                  <c:v>7.9666666666666668</c:v>
                </c:pt>
                <c:pt idx="240">
                  <c:v>8</c:v>
                </c:pt>
                <c:pt idx="241">
                  <c:v>8.0333333333333332</c:v>
                </c:pt>
                <c:pt idx="242">
                  <c:v>8.0666666666666664</c:v>
                </c:pt>
                <c:pt idx="243">
                  <c:v>8.1</c:v>
                </c:pt>
                <c:pt idx="244">
                  <c:v>8.1333333333333329</c:v>
                </c:pt>
                <c:pt idx="245">
                  <c:v>8.1666666666666661</c:v>
                </c:pt>
                <c:pt idx="246">
                  <c:v>8.1999999999999993</c:v>
                </c:pt>
                <c:pt idx="247">
                  <c:v>8.2333333333333325</c:v>
                </c:pt>
                <c:pt idx="248">
                  <c:v>8.2666666666666657</c:v>
                </c:pt>
                <c:pt idx="249">
                  <c:v>8.3000000000000007</c:v>
                </c:pt>
                <c:pt idx="250">
                  <c:v>8.3333333333333339</c:v>
                </c:pt>
                <c:pt idx="251">
                  <c:v>8.3666666666666671</c:v>
                </c:pt>
                <c:pt idx="252">
                  <c:v>8.4</c:v>
                </c:pt>
                <c:pt idx="253">
                  <c:v>8.4333333333333336</c:v>
                </c:pt>
                <c:pt idx="254">
                  <c:v>8.4666666666666668</c:v>
                </c:pt>
                <c:pt idx="255">
                  <c:v>8.5</c:v>
                </c:pt>
                <c:pt idx="256">
                  <c:v>8.5333333333333332</c:v>
                </c:pt>
                <c:pt idx="257">
                  <c:v>8.5666666666666664</c:v>
                </c:pt>
                <c:pt idx="258">
                  <c:v>8.6</c:v>
                </c:pt>
                <c:pt idx="259">
                  <c:v>8.6333333333333329</c:v>
                </c:pt>
                <c:pt idx="260">
                  <c:v>8.6666666666666661</c:v>
                </c:pt>
                <c:pt idx="261">
                  <c:v>8.6999999999999993</c:v>
                </c:pt>
                <c:pt idx="262">
                  <c:v>8.7333333333333325</c:v>
                </c:pt>
                <c:pt idx="263">
                  <c:v>8.7666666666666657</c:v>
                </c:pt>
                <c:pt idx="264">
                  <c:v>8.8000000000000007</c:v>
                </c:pt>
                <c:pt idx="265">
                  <c:v>8.8333333333333339</c:v>
                </c:pt>
                <c:pt idx="266">
                  <c:v>8.8666666666666671</c:v>
                </c:pt>
                <c:pt idx="267">
                  <c:v>8.9</c:v>
                </c:pt>
                <c:pt idx="268">
                  <c:v>8.9333333333333336</c:v>
                </c:pt>
                <c:pt idx="269">
                  <c:v>8.9666666666666668</c:v>
                </c:pt>
                <c:pt idx="270">
                  <c:v>9</c:v>
                </c:pt>
                <c:pt idx="271">
                  <c:v>9.0333333333333332</c:v>
                </c:pt>
                <c:pt idx="272">
                  <c:v>9.0666666666666664</c:v>
                </c:pt>
                <c:pt idx="273">
                  <c:v>9.1</c:v>
                </c:pt>
                <c:pt idx="274">
                  <c:v>9.1333333333333329</c:v>
                </c:pt>
                <c:pt idx="275">
                  <c:v>9.1666666666666661</c:v>
                </c:pt>
                <c:pt idx="276">
                  <c:v>9.1999999999999993</c:v>
                </c:pt>
                <c:pt idx="277">
                  <c:v>9.2333333333333325</c:v>
                </c:pt>
                <c:pt idx="278">
                  <c:v>9.2666666666666657</c:v>
                </c:pt>
                <c:pt idx="279">
                  <c:v>9.3000000000000007</c:v>
                </c:pt>
                <c:pt idx="280">
                  <c:v>9.3333333333333339</c:v>
                </c:pt>
                <c:pt idx="281">
                  <c:v>9.3666666666666671</c:v>
                </c:pt>
                <c:pt idx="282">
                  <c:v>9.4</c:v>
                </c:pt>
                <c:pt idx="283">
                  <c:v>9.4333333333333336</c:v>
                </c:pt>
                <c:pt idx="284">
                  <c:v>9.4666666666666668</c:v>
                </c:pt>
                <c:pt idx="285">
                  <c:v>9.5</c:v>
                </c:pt>
                <c:pt idx="286">
                  <c:v>9.5333333333333332</c:v>
                </c:pt>
                <c:pt idx="287">
                  <c:v>9.5666666666666664</c:v>
                </c:pt>
                <c:pt idx="288">
                  <c:v>9.6</c:v>
                </c:pt>
                <c:pt idx="289">
                  <c:v>9.6333333333333329</c:v>
                </c:pt>
                <c:pt idx="290">
                  <c:v>9.6666666666666661</c:v>
                </c:pt>
                <c:pt idx="291">
                  <c:v>9.6999999999999993</c:v>
                </c:pt>
              </c:numCache>
            </c:numRef>
          </c:xVal>
          <c:yVal>
            <c:numRef>
              <c:f>'att6'!$F$2:$F$293</c:f>
              <c:numCache>
                <c:formatCode>General</c:formatCode>
                <c:ptCount val="292"/>
                <c:pt idx="0">
                  <c:v>108.5996225588224</c:v>
                </c:pt>
                <c:pt idx="1">
                  <c:v>110.370779827466</c:v>
                </c:pt>
                <c:pt idx="2">
                  <c:v>110.3670032340392</c:v>
                </c:pt>
                <c:pt idx="3">
                  <c:v>114.10460626775721</c:v>
                </c:pt>
                <c:pt idx="4">
                  <c:v>115.8808697198924</c:v>
                </c:pt>
                <c:pt idx="5">
                  <c:v>115.8776935120882</c:v>
                </c:pt>
                <c:pt idx="6">
                  <c:v>119.6023230723026</c:v>
                </c:pt>
                <c:pt idx="7">
                  <c:v>121.39596464319121</c:v>
                </c:pt>
                <c:pt idx="8">
                  <c:v>121.3642288728748</c:v>
                </c:pt>
                <c:pt idx="9">
                  <c:v>125.077299023809</c:v>
                </c:pt>
                <c:pt idx="10">
                  <c:v>126.83001559560689</c:v>
                </c:pt>
                <c:pt idx="11">
                  <c:v>126.8292239208119</c:v>
                </c:pt>
                <c:pt idx="12">
                  <c:v>130.57015892242521</c:v>
                </c:pt>
                <c:pt idx="13">
                  <c:v>132.32674466028419</c:v>
                </c:pt>
                <c:pt idx="14">
                  <c:v>132.32578107238211</c:v>
                </c:pt>
                <c:pt idx="15">
                  <c:v>135.9949184439935</c:v>
                </c:pt>
                <c:pt idx="16">
                  <c:v>137.76236518184939</c:v>
                </c:pt>
                <c:pt idx="17">
                  <c:v>137.76236518184939</c:v>
                </c:pt>
                <c:pt idx="18">
                  <c:v>141.30514347579501</c:v>
                </c:pt>
                <c:pt idx="19">
                  <c:v>142.98189524791161</c:v>
                </c:pt>
                <c:pt idx="20">
                  <c:v>142.9618496688511</c:v>
                </c:pt>
                <c:pt idx="21">
                  <c:v>146.36551239484879</c:v>
                </c:pt>
                <c:pt idx="22">
                  <c:v>148.1427178532318</c:v>
                </c:pt>
                <c:pt idx="23">
                  <c:v>148.1427178532318</c:v>
                </c:pt>
                <c:pt idx="24">
                  <c:v>151.69000037324591</c:v>
                </c:pt>
                <c:pt idx="25">
                  <c:v>153.37016202375111</c:v>
                </c:pt>
                <c:pt idx="26">
                  <c:v>153.36662349243551</c:v>
                </c:pt>
                <c:pt idx="27">
                  <c:v>156.90162806759571</c:v>
                </c:pt>
                <c:pt idx="28">
                  <c:v>158.66540999323351</c:v>
                </c:pt>
                <c:pt idx="29">
                  <c:v>158.65857772461439</c:v>
                </c:pt>
                <c:pt idx="30">
                  <c:v>162.0836712798444</c:v>
                </c:pt>
                <c:pt idx="31">
                  <c:v>163.95478117796171</c:v>
                </c:pt>
                <c:pt idx="32">
                  <c:v>163.95166299654201</c:v>
                </c:pt>
                <c:pt idx="33">
                  <c:v>167.35502064166451</c:v>
                </c:pt>
                <c:pt idx="34">
                  <c:v>169.16947251758151</c:v>
                </c:pt>
                <c:pt idx="35">
                  <c:v>169.16947251758151</c:v>
                </c:pt>
                <c:pt idx="36">
                  <c:v>172.75120492653721</c:v>
                </c:pt>
                <c:pt idx="37">
                  <c:v>174.39851746638519</c:v>
                </c:pt>
                <c:pt idx="38">
                  <c:v>174.39539468074969</c:v>
                </c:pt>
                <c:pt idx="39">
                  <c:v>177.96877973818701</c:v>
                </c:pt>
                <c:pt idx="40">
                  <c:v>179.96370405013809</c:v>
                </c:pt>
                <c:pt idx="41">
                  <c:v>179.9677091657822</c:v>
                </c:pt>
                <c:pt idx="42">
                  <c:v>183.40987842400881</c:v>
                </c:pt>
                <c:pt idx="43">
                  <c:v>185.0028218158302</c:v>
                </c:pt>
                <c:pt idx="44">
                  <c:v>184.98508561568869</c:v>
                </c:pt>
                <c:pt idx="45">
                  <c:v>188.61054768030809</c:v>
                </c:pt>
                <c:pt idx="46">
                  <c:v>190.55688563008451</c:v>
                </c:pt>
                <c:pt idx="47">
                  <c:v>190.53804482809181</c:v>
                </c:pt>
                <c:pt idx="48">
                  <c:v>194.16953485331149</c:v>
                </c:pt>
                <c:pt idx="49">
                  <c:v>195.84297649825041</c:v>
                </c:pt>
                <c:pt idx="50">
                  <c:v>195.84928766579341</c:v>
                </c:pt>
                <c:pt idx="51">
                  <c:v>199.56150974749011</c:v>
                </c:pt>
                <c:pt idx="52">
                  <c:v>201.38437951495831</c:v>
                </c:pt>
                <c:pt idx="53">
                  <c:v>201.3899932224366</c:v>
                </c:pt>
                <c:pt idx="54">
                  <c:v>205.00795692929501</c:v>
                </c:pt>
                <c:pt idx="55">
                  <c:v>206.8299766860799</c:v>
                </c:pt>
                <c:pt idx="56">
                  <c:v>206.8183963626509</c:v>
                </c:pt>
                <c:pt idx="57">
                  <c:v>210.60184013865401</c:v>
                </c:pt>
                <c:pt idx="58">
                  <c:v>212.45569783134439</c:v>
                </c:pt>
                <c:pt idx="59">
                  <c:v>212.45569783134439</c:v>
                </c:pt>
                <c:pt idx="60">
                  <c:v>216.1294214622331</c:v>
                </c:pt>
                <c:pt idx="61">
                  <c:v>218.09272448285159</c:v>
                </c:pt>
                <c:pt idx="62">
                  <c:v>218.10128024250631</c:v>
                </c:pt>
                <c:pt idx="63">
                  <c:v>221.8975693454878</c:v>
                </c:pt>
                <c:pt idx="64">
                  <c:v>223.7844895842735</c:v>
                </c:pt>
                <c:pt idx="65">
                  <c:v>223.76569244047309</c:v>
                </c:pt>
                <c:pt idx="66">
                  <c:v>227.7910790357742</c:v>
                </c:pt>
                <c:pt idx="67">
                  <c:v>229.6984411487276</c:v>
                </c:pt>
                <c:pt idx="68">
                  <c:v>229.68390031613711</c:v>
                </c:pt>
                <c:pt idx="69">
                  <c:v>233.93522539995331</c:v>
                </c:pt>
                <c:pt idx="70">
                  <c:v>235.80553224555399</c:v>
                </c:pt>
                <c:pt idx="71">
                  <c:v>235.82583411144901</c:v>
                </c:pt>
                <c:pt idx="72">
                  <c:v>239.7673885776386</c:v>
                </c:pt>
                <c:pt idx="73">
                  <c:v>241.5755127786403</c:v>
                </c:pt>
                <c:pt idx="74">
                  <c:v>241.5755127786403</c:v>
                </c:pt>
                <c:pt idx="75">
                  <c:v>245.8705323662079</c:v>
                </c:pt>
                <c:pt idx="76">
                  <c:v>248.51246267534901</c:v>
                </c:pt>
                <c:pt idx="77">
                  <c:v>248.43431500374669</c:v>
                </c:pt>
                <c:pt idx="78">
                  <c:v>254.23589367020111</c:v>
                </c:pt>
                <c:pt idx="79">
                  <c:v>256.49659008398442</c:v>
                </c:pt>
                <c:pt idx="80">
                  <c:v>256.6988466423378</c:v>
                </c:pt>
                <c:pt idx="81">
                  <c:v>263.90231201612875</c:v>
                </c:pt>
                <c:pt idx="82">
                  <c:v>271.41011335728626</c:v>
                </c:pt>
                <c:pt idx="83">
                  <c:v>270.98385996720287</c:v>
                </c:pt>
                <c:pt idx="105">
                  <c:v>243.34956881392532</c:v>
                </c:pt>
                <c:pt idx="108">
                  <c:v>288.52207628800659</c:v>
                </c:pt>
                <c:pt idx="109">
                  <c:v>296.29635136914357</c:v>
                </c:pt>
                <c:pt idx="110">
                  <c:v>298.68985281847489</c:v>
                </c:pt>
                <c:pt idx="111">
                  <c:v>307.22966292143371</c:v>
                </c:pt>
                <c:pt idx="112">
                  <c:v>315.32247812971383</c:v>
                </c:pt>
                <c:pt idx="113">
                  <c:v>315.39232620234372</c:v>
                </c:pt>
                <c:pt idx="114">
                  <c:v>318.26290448675712</c:v>
                </c:pt>
                <c:pt idx="115">
                  <c:v>308.90638486734929</c:v>
                </c:pt>
                <c:pt idx="116">
                  <c:v>308.950176764373</c:v>
                </c:pt>
                <c:pt idx="117">
                  <c:v>327.39605949643089</c:v>
                </c:pt>
                <c:pt idx="118">
                  <c:v>330.86131770286909</c:v>
                </c:pt>
                <c:pt idx="119">
                  <c:v>330.86131770286909</c:v>
                </c:pt>
                <c:pt idx="120">
                  <c:v>335.24038070026751</c:v>
                </c:pt>
                <c:pt idx="121">
                  <c:v>336.68166104376951</c:v>
                </c:pt>
                <c:pt idx="122">
                  <c:v>336.66884852652981</c:v>
                </c:pt>
                <c:pt idx="123">
                  <c:v>341.17840971295698</c:v>
                </c:pt>
                <c:pt idx="124">
                  <c:v>343.2507952916763</c:v>
                </c:pt>
                <c:pt idx="125">
                  <c:v>343.2507952916763</c:v>
                </c:pt>
                <c:pt idx="126">
                  <c:v>347.0219658950241</c:v>
                </c:pt>
                <c:pt idx="127">
                  <c:v>349.36423784551306</c:v>
                </c:pt>
                <c:pt idx="128">
                  <c:v>349.34364758034246</c:v>
                </c:pt>
                <c:pt idx="129">
                  <c:v>352.77909981710121</c:v>
                </c:pt>
                <c:pt idx="130">
                  <c:v>354.98605306291705</c:v>
                </c:pt>
                <c:pt idx="131">
                  <c:v>354.98976741598301</c:v>
                </c:pt>
                <c:pt idx="132">
                  <c:v>358.99245762125315</c:v>
                </c:pt>
                <c:pt idx="133">
                  <c:v>361.14664248601161</c:v>
                </c:pt>
                <c:pt idx="134">
                  <c:v>361.11034844273127</c:v>
                </c:pt>
                <c:pt idx="135">
                  <c:v>365.07700033939699</c:v>
                </c:pt>
                <c:pt idx="136">
                  <c:v>366.65008173727705</c:v>
                </c:pt>
                <c:pt idx="137">
                  <c:v>366.65054936535779</c:v>
                </c:pt>
                <c:pt idx="138">
                  <c:v>370.73418069986485</c:v>
                </c:pt>
                <c:pt idx="139">
                  <c:v>372.55971718685248</c:v>
                </c:pt>
                <c:pt idx="140">
                  <c:v>372.58505496812637</c:v>
                </c:pt>
                <c:pt idx="141">
                  <c:v>376.51707554979907</c:v>
                </c:pt>
                <c:pt idx="142">
                  <c:v>378.43025774819489</c:v>
                </c:pt>
                <c:pt idx="143">
                  <c:v>378.41815473954478</c:v>
                </c:pt>
                <c:pt idx="144">
                  <c:v>382.28178202087565</c:v>
                </c:pt>
                <c:pt idx="145">
                  <c:v>384.12872131498887</c:v>
                </c:pt>
                <c:pt idx="146">
                  <c:v>384.12145525095451</c:v>
                </c:pt>
                <c:pt idx="147">
                  <c:v>387.92685462878813</c:v>
                </c:pt>
                <c:pt idx="148">
                  <c:v>389.84054976044769</c:v>
                </c:pt>
                <c:pt idx="149">
                  <c:v>389.84775012792295</c:v>
                </c:pt>
                <c:pt idx="150">
                  <c:v>393.59218847084662</c:v>
                </c:pt>
                <c:pt idx="151">
                  <c:v>395.51396316430998</c:v>
                </c:pt>
                <c:pt idx="152">
                  <c:v>395.50666238359656</c:v>
                </c:pt>
                <c:pt idx="153">
                  <c:v>399.25138222146745</c:v>
                </c:pt>
                <c:pt idx="154">
                  <c:v>401.07035115884054</c:v>
                </c:pt>
                <c:pt idx="155">
                  <c:v>401.0447489575501</c:v>
                </c:pt>
                <c:pt idx="156">
                  <c:v>404.83173303375514</c:v>
                </c:pt>
                <c:pt idx="157">
                  <c:v>406.66219030969944</c:v>
                </c:pt>
                <c:pt idx="158">
                  <c:v>406.68661682904224</c:v>
                </c:pt>
                <c:pt idx="159">
                  <c:v>410.3433352156797</c:v>
                </c:pt>
                <c:pt idx="160">
                  <c:v>412.20312244584301</c:v>
                </c:pt>
                <c:pt idx="161">
                  <c:v>412.19757141889386</c:v>
                </c:pt>
                <c:pt idx="162">
                  <c:v>416.00985814801663</c:v>
                </c:pt>
                <c:pt idx="163">
                  <c:v>417.84419657488434</c:v>
                </c:pt>
                <c:pt idx="164">
                  <c:v>417.83605285618461</c:v>
                </c:pt>
                <c:pt idx="165">
                  <c:v>421.5947176669489</c:v>
                </c:pt>
                <c:pt idx="166">
                  <c:v>423.41304540486749</c:v>
                </c:pt>
                <c:pt idx="167">
                  <c:v>423.41277148858603</c:v>
                </c:pt>
                <c:pt idx="168">
                  <c:v>427.08453121128343</c:v>
                </c:pt>
                <c:pt idx="169">
                  <c:v>423.09247236373579</c:v>
                </c:pt>
                <c:pt idx="170">
                  <c:v>423.26298049270031</c:v>
                </c:pt>
                <c:pt idx="171">
                  <c:v>430.9495417477649</c:v>
                </c:pt>
                <c:pt idx="172">
                  <c:v>434.52191803597998</c:v>
                </c:pt>
                <c:pt idx="173">
                  <c:v>434.52987372729001</c:v>
                </c:pt>
                <c:pt idx="174">
                  <c:v>438.19475576097346</c:v>
                </c:pt>
                <c:pt idx="175">
                  <c:v>440.04420724582758</c:v>
                </c:pt>
                <c:pt idx="176">
                  <c:v>440.05283632316269</c:v>
                </c:pt>
                <c:pt idx="177">
                  <c:v>443.71017192515382</c:v>
                </c:pt>
                <c:pt idx="178">
                  <c:v>445.5480732650409</c:v>
                </c:pt>
                <c:pt idx="179">
                  <c:v>445.5480732650409</c:v>
                </c:pt>
                <c:pt idx="180">
                  <c:v>449.27696783787223</c:v>
                </c:pt>
                <c:pt idx="181">
                  <c:v>450.83189257420031</c:v>
                </c:pt>
                <c:pt idx="182">
                  <c:v>450.83189257420031</c:v>
                </c:pt>
                <c:pt idx="183">
                  <c:v>454.63285196179419</c:v>
                </c:pt>
                <c:pt idx="184">
                  <c:v>456.52696639593415</c:v>
                </c:pt>
                <c:pt idx="185">
                  <c:v>456.52696639593415</c:v>
                </c:pt>
                <c:pt idx="186">
                  <c:v>460.15313078868917</c:v>
                </c:pt>
                <c:pt idx="187">
                  <c:v>461.92216716548211</c:v>
                </c:pt>
                <c:pt idx="188">
                  <c:v>461.92242523844772</c:v>
                </c:pt>
                <c:pt idx="189">
                  <c:v>465.5592864887488</c:v>
                </c:pt>
                <c:pt idx="190">
                  <c:v>467.38042660987952</c:v>
                </c:pt>
                <c:pt idx="191">
                  <c:v>467.38114256575807</c:v>
                </c:pt>
                <c:pt idx="192">
                  <c:v>471.04333396066806</c:v>
                </c:pt>
                <c:pt idx="193">
                  <c:v>472.87106927034569</c:v>
                </c:pt>
                <c:pt idx="194">
                  <c:v>472.87595209518679</c:v>
                </c:pt>
                <c:pt idx="195">
                  <c:v>476.51791107505187</c:v>
                </c:pt>
                <c:pt idx="196">
                  <c:v>478.37425952196639</c:v>
                </c:pt>
                <c:pt idx="197">
                  <c:v>478.37864801816409</c:v>
                </c:pt>
                <c:pt idx="198">
                  <c:v>482.06579824064579</c:v>
                </c:pt>
                <c:pt idx="199">
                  <c:v>483.87371777314462</c:v>
                </c:pt>
                <c:pt idx="200">
                  <c:v>483.87123278767831</c:v>
                </c:pt>
                <c:pt idx="201">
                  <c:v>487.5229093333607</c:v>
                </c:pt>
                <c:pt idx="202">
                  <c:v>489.34970897506514</c:v>
                </c:pt>
                <c:pt idx="203">
                  <c:v>489.35227119144963</c:v>
                </c:pt>
                <c:pt idx="204">
                  <c:v>492.92567476694211</c:v>
                </c:pt>
                <c:pt idx="205">
                  <c:v>494.69918757257369</c:v>
                </c:pt>
                <c:pt idx="206">
                  <c:v>494.69481268575066</c:v>
                </c:pt>
                <c:pt idx="207">
                  <c:v>498.40018278402351</c:v>
                </c:pt>
                <c:pt idx="208">
                  <c:v>500.1252294454589</c:v>
                </c:pt>
                <c:pt idx="209">
                  <c:v>500.15022416940258</c:v>
                </c:pt>
                <c:pt idx="210">
                  <c:v>503.56501296121598</c:v>
                </c:pt>
                <c:pt idx="211">
                  <c:v>505.29288835290868</c:v>
                </c:pt>
                <c:pt idx="212">
                  <c:v>505.29288835290868</c:v>
                </c:pt>
                <c:pt idx="213">
                  <c:v>508.77414940593491</c:v>
                </c:pt>
                <c:pt idx="214">
                  <c:v>510.57925483896304</c:v>
                </c:pt>
                <c:pt idx="215">
                  <c:v>510.58020764903176</c:v>
                </c:pt>
                <c:pt idx="216">
                  <c:v>514.05941443697134</c:v>
                </c:pt>
                <c:pt idx="217">
                  <c:v>515.7966954036508</c:v>
                </c:pt>
                <c:pt idx="218">
                  <c:v>515.79419946846338</c:v>
                </c:pt>
                <c:pt idx="219">
                  <c:v>519.28688279190226</c:v>
                </c:pt>
                <c:pt idx="220">
                  <c:v>521.05571964021158</c:v>
                </c:pt>
                <c:pt idx="221">
                  <c:v>521.02184984682754</c:v>
                </c:pt>
                <c:pt idx="222">
                  <c:v>524.55324941781498</c:v>
                </c:pt>
                <c:pt idx="223">
                  <c:v>526.24525512578532</c:v>
                </c:pt>
                <c:pt idx="224">
                  <c:v>526.28830864278393</c:v>
                </c:pt>
                <c:pt idx="225">
                  <c:v>529.78376784347108</c:v>
                </c:pt>
                <c:pt idx="226">
                  <c:v>531.53060592651082</c:v>
                </c:pt>
                <c:pt idx="227">
                  <c:v>531.53766462774752</c:v>
                </c:pt>
                <c:pt idx="228">
                  <c:v>535.11442797333223</c:v>
                </c:pt>
                <c:pt idx="229">
                  <c:v>536.79645294566524</c:v>
                </c:pt>
                <c:pt idx="230">
                  <c:v>536.81549377108445</c:v>
                </c:pt>
                <c:pt idx="231">
                  <c:v>540.51339491307294</c:v>
                </c:pt>
                <c:pt idx="232">
                  <c:v>542.2123716623471</c:v>
                </c:pt>
                <c:pt idx="233">
                  <c:v>542.19989979244781</c:v>
                </c:pt>
                <c:pt idx="234">
                  <c:v>545.72317709936044</c:v>
                </c:pt>
                <c:pt idx="235">
                  <c:v>547.51557290018695</c:v>
                </c:pt>
                <c:pt idx="236">
                  <c:v>547.56992556691148</c:v>
                </c:pt>
                <c:pt idx="237">
                  <c:v>551.09143521292276</c:v>
                </c:pt>
                <c:pt idx="238">
                  <c:v>552.80936948112287</c:v>
                </c:pt>
                <c:pt idx="239">
                  <c:v>552.80936948112287</c:v>
                </c:pt>
                <c:pt idx="240">
                  <c:v>556.40305382343138</c:v>
                </c:pt>
                <c:pt idx="241">
                  <c:v>558.27549419488173</c:v>
                </c:pt>
                <c:pt idx="242">
                  <c:v>558.26871494781199</c:v>
                </c:pt>
                <c:pt idx="243">
                  <c:v>561.92588795150982</c:v>
                </c:pt>
                <c:pt idx="244">
                  <c:v>563.7920767568063</c:v>
                </c:pt>
                <c:pt idx="245">
                  <c:v>563.77377771172121</c:v>
                </c:pt>
                <c:pt idx="246">
                  <c:v>567.50263092233172</c:v>
                </c:pt>
                <c:pt idx="247">
                  <c:v>569.30175518043222</c:v>
                </c:pt>
                <c:pt idx="248">
                  <c:v>569.3123789689223</c:v>
                </c:pt>
                <c:pt idx="249">
                  <c:v>573.05396006668161</c:v>
                </c:pt>
                <c:pt idx="250">
                  <c:v>574.91375411010927</c:v>
                </c:pt>
                <c:pt idx="251">
                  <c:v>574.87673210763023</c:v>
                </c:pt>
                <c:pt idx="252">
                  <c:v>578.51782471139154</c:v>
                </c:pt>
                <c:pt idx="253">
                  <c:v>580.54372665177141</c:v>
                </c:pt>
                <c:pt idx="254">
                  <c:v>580.54149011154107</c:v>
                </c:pt>
                <c:pt idx="255">
                  <c:v>584.36572031684113</c:v>
                </c:pt>
                <c:pt idx="256">
                  <c:v>586.29986731135318</c:v>
                </c:pt>
                <c:pt idx="257">
                  <c:v>586.2608906025547</c:v>
                </c:pt>
                <c:pt idx="258">
                  <c:v>590.48665856587206</c:v>
                </c:pt>
                <c:pt idx="259">
                  <c:v>592.33348051492158</c:v>
                </c:pt>
                <c:pt idx="260">
                  <c:v>592.33900239753825</c:v>
                </c:pt>
                <c:pt idx="261">
                  <c:v>596.18230605124529</c:v>
                </c:pt>
                <c:pt idx="262">
                  <c:v>598.31840550832828</c:v>
                </c:pt>
                <c:pt idx="263">
                  <c:v>598.35637427894585</c:v>
                </c:pt>
                <c:pt idx="264">
                  <c:v>602.18805294689332</c:v>
                </c:pt>
                <c:pt idx="265">
                  <c:v>604.36528838163417</c:v>
                </c:pt>
                <c:pt idx="266">
                  <c:v>604.23782822882754</c:v>
                </c:pt>
                <c:pt idx="267">
                  <c:v>608.75963041376031</c:v>
                </c:pt>
                <c:pt idx="268">
                  <c:v>611.37602066847433</c:v>
                </c:pt>
                <c:pt idx="269">
                  <c:v>611.39481241406531</c:v>
                </c:pt>
                <c:pt idx="270">
                  <c:v>617.36243978975585</c:v>
                </c:pt>
                <c:pt idx="271">
                  <c:v>620.85344273920077</c:v>
                </c:pt>
                <c:pt idx="272">
                  <c:v>620.78814442335488</c:v>
                </c:pt>
                <c:pt idx="273">
                  <c:v>630.74166368829492</c:v>
                </c:pt>
                <c:pt idx="274">
                  <c:v>652.72457330314933</c:v>
                </c:pt>
                <c:pt idx="275">
                  <c:v>652.85858830531538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2D-42D9-9685-C23EED3E1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02527"/>
        <c:axId val="307319663"/>
      </c:scatterChart>
      <c:valAx>
        <c:axId val="18240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07319663"/>
        <c:crosses val="autoZero"/>
        <c:crossBetween val="midCat"/>
      </c:valAx>
      <c:valAx>
        <c:axId val="30731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2402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'att6'!$B$1</c:f>
              <c:strCache>
                <c:ptCount val="1"/>
                <c:pt idx="0">
                  <c:v>pitch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'att6'!$A$2:$A$293</c:f>
              <c:numCache>
                <c:formatCode>General</c:formatCode>
                <c:ptCount val="292"/>
                <c:pt idx="0">
                  <c:v>0</c:v>
                </c:pt>
                <c:pt idx="1">
                  <c:v>3.3333333333333333E-2</c:v>
                </c:pt>
                <c:pt idx="2">
                  <c:v>6.6666666666666666E-2</c:v>
                </c:pt>
                <c:pt idx="3">
                  <c:v>0.1</c:v>
                </c:pt>
                <c:pt idx="4">
                  <c:v>0.1333333333333333</c:v>
                </c:pt>
                <c:pt idx="5">
                  <c:v>0.16666666666666671</c:v>
                </c:pt>
                <c:pt idx="6">
                  <c:v>0.2</c:v>
                </c:pt>
                <c:pt idx="7">
                  <c:v>0.23333333333333331</c:v>
                </c:pt>
                <c:pt idx="8">
                  <c:v>0.26666666666666672</c:v>
                </c:pt>
                <c:pt idx="9">
                  <c:v>0.3</c:v>
                </c:pt>
                <c:pt idx="10">
                  <c:v>0.33333333333333331</c:v>
                </c:pt>
                <c:pt idx="11">
                  <c:v>0.36666666666666659</c:v>
                </c:pt>
                <c:pt idx="12">
                  <c:v>0.4</c:v>
                </c:pt>
                <c:pt idx="13">
                  <c:v>0.43333333333333329</c:v>
                </c:pt>
                <c:pt idx="14">
                  <c:v>0.46666666666666667</c:v>
                </c:pt>
                <c:pt idx="15">
                  <c:v>0.5</c:v>
                </c:pt>
                <c:pt idx="16">
                  <c:v>0.53333333333333333</c:v>
                </c:pt>
                <c:pt idx="17">
                  <c:v>0.56666666666666665</c:v>
                </c:pt>
                <c:pt idx="18">
                  <c:v>0.6</c:v>
                </c:pt>
                <c:pt idx="19">
                  <c:v>0.6333333333333333</c:v>
                </c:pt>
                <c:pt idx="20">
                  <c:v>0.66666666666666663</c:v>
                </c:pt>
                <c:pt idx="21">
                  <c:v>0.7</c:v>
                </c:pt>
                <c:pt idx="22">
                  <c:v>0.73333333333333328</c:v>
                </c:pt>
                <c:pt idx="23">
                  <c:v>0.76666666666666661</c:v>
                </c:pt>
                <c:pt idx="24">
                  <c:v>0.8</c:v>
                </c:pt>
                <c:pt idx="25">
                  <c:v>0.83333333333333337</c:v>
                </c:pt>
                <c:pt idx="26">
                  <c:v>0.8666666666666667</c:v>
                </c:pt>
                <c:pt idx="27">
                  <c:v>0.9</c:v>
                </c:pt>
                <c:pt idx="28">
                  <c:v>0.93333333333333335</c:v>
                </c:pt>
                <c:pt idx="29">
                  <c:v>0.96666666666666667</c:v>
                </c:pt>
                <c:pt idx="30">
                  <c:v>1</c:v>
                </c:pt>
                <c:pt idx="31">
                  <c:v>1.033333333333333</c:v>
                </c:pt>
                <c:pt idx="32">
                  <c:v>1.0666666666666671</c:v>
                </c:pt>
                <c:pt idx="33">
                  <c:v>1.1000000000000001</c:v>
                </c:pt>
                <c:pt idx="34">
                  <c:v>1.1333333333333331</c:v>
                </c:pt>
                <c:pt idx="35">
                  <c:v>1.166666666666667</c:v>
                </c:pt>
                <c:pt idx="36">
                  <c:v>1.2</c:v>
                </c:pt>
                <c:pt idx="37">
                  <c:v>1.2333333333333329</c:v>
                </c:pt>
                <c:pt idx="38">
                  <c:v>1.2666666666666671</c:v>
                </c:pt>
                <c:pt idx="39">
                  <c:v>1.3</c:v>
                </c:pt>
                <c:pt idx="40">
                  <c:v>1.333333333333333</c:v>
                </c:pt>
                <c:pt idx="41">
                  <c:v>1.3666666666666669</c:v>
                </c:pt>
                <c:pt idx="42">
                  <c:v>1.4</c:v>
                </c:pt>
                <c:pt idx="43">
                  <c:v>1.4333333333333329</c:v>
                </c:pt>
                <c:pt idx="44">
                  <c:v>1.466666666666667</c:v>
                </c:pt>
                <c:pt idx="45">
                  <c:v>1.5</c:v>
                </c:pt>
                <c:pt idx="46">
                  <c:v>1.533333333333333</c:v>
                </c:pt>
                <c:pt idx="47">
                  <c:v>1.5666666666666671</c:v>
                </c:pt>
                <c:pt idx="48">
                  <c:v>1.6</c:v>
                </c:pt>
                <c:pt idx="49">
                  <c:v>1.6333333333333331</c:v>
                </c:pt>
                <c:pt idx="50">
                  <c:v>1.666666666666667</c:v>
                </c:pt>
                <c:pt idx="51">
                  <c:v>1.7</c:v>
                </c:pt>
                <c:pt idx="52">
                  <c:v>1.7333333333333329</c:v>
                </c:pt>
                <c:pt idx="53">
                  <c:v>1.7666666666666671</c:v>
                </c:pt>
                <c:pt idx="54">
                  <c:v>1.8</c:v>
                </c:pt>
                <c:pt idx="55">
                  <c:v>1.833333333333333</c:v>
                </c:pt>
                <c:pt idx="56">
                  <c:v>1.8666666666666669</c:v>
                </c:pt>
                <c:pt idx="57">
                  <c:v>1.9</c:v>
                </c:pt>
                <c:pt idx="58">
                  <c:v>1.9333333333333329</c:v>
                </c:pt>
                <c:pt idx="59">
                  <c:v>1.966666666666667</c:v>
                </c:pt>
                <c:pt idx="60">
                  <c:v>2</c:v>
                </c:pt>
                <c:pt idx="61">
                  <c:v>2.0333333333333332</c:v>
                </c:pt>
                <c:pt idx="62">
                  <c:v>2.066666666666666</c:v>
                </c:pt>
                <c:pt idx="63">
                  <c:v>2.1</c:v>
                </c:pt>
                <c:pt idx="64">
                  <c:v>2.1333333333333329</c:v>
                </c:pt>
                <c:pt idx="65">
                  <c:v>2.166666666666667</c:v>
                </c:pt>
                <c:pt idx="66">
                  <c:v>2.2000000000000002</c:v>
                </c:pt>
                <c:pt idx="67">
                  <c:v>2.2333333333333329</c:v>
                </c:pt>
                <c:pt idx="68">
                  <c:v>2.2666666666666671</c:v>
                </c:pt>
                <c:pt idx="69">
                  <c:v>2.2999999999999998</c:v>
                </c:pt>
                <c:pt idx="70">
                  <c:v>2.333333333333333</c:v>
                </c:pt>
                <c:pt idx="71">
                  <c:v>2.3666666666666671</c:v>
                </c:pt>
                <c:pt idx="72">
                  <c:v>2.4</c:v>
                </c:pt>
                <c:pt idx="73">
                  <c:v>2.4333333333333331</c:v>
                </c:pt>
                <c:pt idx="74">
                  <c:v>2.4666666666666668</c:v>
                </c:pt>
                <c:pt idx="75">
                  <c:v>2.5</c:v>
                </c:pt>
                <c:pt idx="76">
                  <c:v>2.5333333333333332</c:v>
                </c:pt>
                <c:pt idx="77">
                  <c:v>2.566666666666666</c:v>
                </c:pt>
                <c:pt idx="78">
                  <c:v>2.6</c:v>
                </c:pt>
                <c:pt idx="79">
                  <c:v>2.6333333333333329</c:v>
                </c:pt>
                <c:pt idx="80">
                  <c:v>2.666666666666667</c:v>
                </c:pt>
                <c:pt idx="81">
                  <c:v>2.7</c:v>
                </c:pt>
                <c:pt idx="82">
                  <c:v>2.7333333333333329</c:v>
                </c:pt>
                <c:pt idx="83">
                  <c:v>2.7666666666666671</c:v>
                </c:pt>
                <c:pt idx="84">
                  <c:v>2.8</c:v>
                </c:pt>
                <c:pt idx="85">
                  <c:v>2.833333333333333</c:v>
                </c:pt>
                <c:pt idx="86">
                  <c:v>2.8666666666666671</c:v>
                </c:pt>
                <c:pt idx="87">
                  <c:v>2.9</c:v>
                </c:pt>
                <c:pt idx="88">
                  <c:v>2.9333333333333331</c:v>
                </c:pt>
                <c:pt idx="89">
                  <c:v>2.9666666666666668</c:v>
                </c:pt>
                <c:pt idx="90">
                  <c:v>3</c:v>
                </c:pt>
                <c:pt idx="91">
                  <c:v>3.0333333333333332</c:v>
                </c:pt>
                <c:pt idx="92">
                  <c:v>3.066666666666666</c:v>
                </c:pt>
                <c:pt idx="93">
                  <c:v>3.1</c:v>
                </c:pt>
                <c:pt idx="94">
                  <c:v>3.1333333333333329</c:v>
                </c:pt>
                <c:pt idx="95">
                  <c:v>3.166666666666667</c:v>
                </c:pt>
                <c:pt idx="96">
                  <c:v>3.2</c:v>
                </c:pt>
                <c:pt idx="97">
                  <c:v>3.2333333333333329</c:v>
                </c:pt>
                <c:pt idx="98">
                  <c:v>3.2666666666666671</c:v>
                </c:pt>
                <c:pt idx="99">
                  <c:v>3.3</c:v>
                </c:pt>
                <c:pt idx="100">
                  <c:v>3.333333333333333</c:v>
                </c:pt>
                <c:pt idx="101">
                  <c:v>3.3666666666666671</c:v>
                </c:pt>
                <c:pt idx="102">
                  <c:v>3.4</c:v>
                </c:pt>
                <c:pt idx="103">
                  <c:v>3.4333333333333331</c:v>
                </c:pt>
                <c:pt idx="104">
                  <c:v>3.4666666666666668</c:v>
                </c:pt>
                <c:pt idx="105">
                  <c:v>3.5</c:v>
                </c:pt>
                <c:pt idx="106">
                  <c:v>3.5333333333333332</c:v>
                </c:pt>
                <c:pt idx="107">
                  <c:v>3.566666666666666</c:v>
                </c:pt>
                <c:pt idx="108">
                  <c:v>3.6</c:v>
                </c:pt>
                <c:pt idx="109">
                  <c:v>3.6333333333333329</c:v>
                </c:pt>
                <c:pt idx="110">
                  <c:v>3.666666666666667</c:v>
                </c:pt>
                <c:pt idx="111">
                  <c:v>3.7</c:v>
                </c:pt>
                <c:pt idx="112">
                  <c:v>3.7333333333333329</c:v>
                </c:pt>
                <c:pt idx="113">
                  <c:v>3.7666666666666671</c:v>
                </c:pt>
                <c:pt idx="114">
                  <c:v>3.8</c:v>
                </c:pt>
                <c:pt idx="115">
                  <c:v>3.833333333333333</c:v>
                </c:pt>
                <c:pt idx="116">
                  <c:v>3.8666666666666671</c:v>
                </c:pt>
                <c:pt idx="117">
                  <c:v>3.9</c:v>
                </c:pt>
                <c:pt idx="118">
                  <c:v>3.9333333333333331</c:v>
                </c:pt>
                <c:pt idx="119">
                  <c:v>3.9666666666666668</c:v>
                </c:pt>
                <c:pt idx="120">
                  <c:v>4</c:v>
                </c:pt>
                <c:pt idx="121">
                  <c:v>4.0333333333333332</c:v>
                </c:pt>
                <c:pt idx="122">
                  <c:v>4.0666666666666664</c:v>
                </c:pt>
                <c:pt idx="123">
                  <c:v>4.0999999999999996</c:v>
                </c:pt>
                <c:pt idx="124">
                  <c:v>4.1333333333333329</c:v>
                </c:pt>
                <c:pt idx="125">
                  <c:v>4.166666666666667</c:v>
                </c:pt>
                <c:pt idx="126">
                  <c:v>4.2</c:v>
                </c:pt>
                <c:pt idx="127">
                  <c:v>4.2333333333333334</c:v>
                </c:pt>
                <c:pt idx="128">
                  <c:v>4.2666666666666666</c:v>
                </c:pt>
                <c:pt idx="129">
                  <c:v>4.3</c:v>
                </c:pt>
                <c:pt idx="130">
                  <c:v>4.333333333333333</c:v>
                </c:pt>
                <c:pt idx="131">
                  <c:v>4.3666666666666663</c:v>
                </c:pt>
                <c:pt idx="132">
                  <c:v>4.4000000000000004</c:v>
                </c:pt>
                <c:pt idx="133">
                  <c:v>4.4333333333333336</c:v>
                </c:pt>
                <c:pt idx="134">
                  <c:v>4.4666666666666668</c:v>
                </c:pt>
                <c:pt idx="135">
                  <c:v>4.5</c:v>
                </c:pt>
                <c:pt idx="136">
                  <c:v>4.5333333333333332</c:v>
                </c:pt>
                <c:pt idx="137">
                  <c:v>4.5666666666666664</c:v>
                </c:pt>
                <c:pt idx="138">
                  <c:v>4.5999999999999996</c:v>
                </c:pt>
                <c:pt idx="139">
                  <c:v>4.6333333333333329</c:v>
                </c:pt>
                <c:pt idx="140">
                  <c:v>4.666666666666667</c:v>
                </c:pt>
                <c:pt idx="141">
                  <c:v>4.7</c:v>
                </c:pt>
                <c:pt idx="142">
                  <c:v>4.7333333333333334</c:v>
                </c:pt>
                <c:pt idx="143">
                  <c:v>4.7666666666666666</c:v>
                </c:pt>
                <c:pt idx="144">
                  <c:v>4.8</c:v>
                </c:pt>
                <c:pt idx="145">
                  <c:v>4.833333333333333</c:v>
                </c:pt>
                <c:pt idx="146">
                  <c:v>4.8666666666666663</c:v>
                </c:pt>
                <c:pt idx="147">
                  <c:v>4.9000000000000004</c:v>
                </c:pt>
                <c:pt idx="148">
                  <c:v>4.9333333333333336</c:v>
                </c:pt>
                <c:pt idx="149">
                  <c:v>4.9666666666666668</c:v>
                </c:pt>
                <c:pt idx="150">
                  <c:v>5</c:v>
                </c:pt>
                <c:pt idx="151">
                  <c:v>5.0333333333333332</c:v>
                </c:pt>
                <c:pt idx="152">
                  <c:v>5.0666666666666664</c:v>
                </c:pt>
                <c:pt idx="153">
                  <c:v>5.0999999999999996</c:v>
                </c:pt>
                <c:pt idx="154">
                  <c:v>5.1333333333333329</c:v>
                </c:pt>
                <c:pt idx="155">
                  <c:v>5.166666666666667</c:v>
                </c:pt>
                <c:pt idx="156">
                  <c:v>5.2</c:v>
                </c:pt>
                <c:pt idx="157">
                  <c:v>5.2333333333333334</c:v>
                </c:pt>
                <c:pt idx="158">
                  <c:v>5.2666666666666666</c:v>
                </c:pt>
                <c:pt idx="159">
                  <c:v>5.3</c:v>
                </c:pt>
                <c:pt idx="160">
                  <c:v>5.333333333333333</c:v>
                </c:pt>
                <c:pt idx="161">
                  <c:v>5.3666666666666663</c:v>
                </c:pt>
                <c:pt idx="162">
                  <c:v>5.4</c:v>
                </c:pt>
                <c:pt idx="163">
                  <c:v>5.4333333333333336</c:v>
                </c:pt>
                <c:pt idx="164">
                  <c:v>5.4666666666666668</c:v>
                </c:pt>
                <c:pt idx="165">
                  <c:v>5.5</c:v>
                </c:pt>
                <c:pt idx="166">
                  <c:v>5.5333333333333332</c:v>
                </c:pt>
                <c:pt idx="167">
                  <c:v>5.5666666666666664</c:v>
                </c:pt>
                <c:pt idx="168">
                  <c:v>5.6</c:v>
                </c:pt>
                <c:pt idx="169">
                  <c:v>5.6333333333333329</c:v>
                </c:pt>
                <c:pt idx="170">
                  <c:v>5.666666666666667</c:v>
                </c:pt>
                <c:pt idx="171">
                  <c:v>5.7</c:v>
                </c:pt>
                <c:pt idx="172">
                  <c:v>5.7333333333333334</c:v>
                </c:pt>
                <c:pt idx="173">
                  <c:v>5.7666666666666666</c:v>
                </c:pt>
                <c:pt idx="174">
                  <c:v>5.8</c:v>
                </c:pt>
                <c:pt idx="175">
                  <c:v>5.833333333333333</c:v>
                </c:pt>
                <c:pt idx="176">
                  <c:v>5.8666666666666663</c:v>
                </c:pt>
                <c:pt idx="177">
                  <c:v>5.9</c:v>
                </c:pt>
                <c:pt idx="178">
                  <c:v>5.9333333333333336</c:v>
                </c:pt>
                <c:pt idx="179">
                  <c:v>5.9666666666666668</c:v>
                </c:pt>
                <c:pt idx="180">
                  <c:v>6</c:v>
                </c:pt>
                <c:pt idx="181">
                  <c:v>6.0333333333333332</c:v>
                </c:pt>
                <c:pt idx="182">
                  <c:v>6.0666666666666664</c:v>
                </c:pt>
                <c:pt idx="183">
                  <c:v>6.1</c:v>
                </c:pt>
                <c:pt idx="184">
                  <c:v>6.1333333333333329</c:v>
                </c:pt>
                <c:pt idx="185">
                  <c:v>6.166666666666667</c:v>
                </c:pt>
                <c:pt idx="186">
                  <c:v>6.2</c:v>
                </c:pt>
                <c:pt idx="187">
                  <c:v>6.2333333333333334</c:v>
                </c:pt>
                <c:pt idx="188">
                  <c:v>6.2666666666666666</c:v>
                </c:pt>
                <c:pt idx="189">
                  <c:v>6.3</c:v>
                </c:pt>
                <c:pt idx="190">
                  <c:v>6.333333333333333</c:v>
                </c:pt>
                <c:pt idx="191">
                  <c:v>6.3666666666666663</c:v>
                </c:pt>
                <c:pt idx="192">
                  <c:v>6.4</c:v>
                </c:pt>
                <c:pt idx="193">
                  <c:v>6.4333333333333336</c:v>
                </c:pt>
                <c:pt idx="194">
                  <c:v>6.4666666666666668</c:v>
                </c:pt>
                <c:pt idx="195">
                  <c:v>6.5</c:v>
                </c:pt>
                <c:pt idx="196">
                  <c:v>6.5333333333333332</c:v>
                </c:pt>
                <c:pt idx="197">
                  <c:v>6.5666666666666664</c:v>
                </c:pt>
                <c:pt idx="198">
                  <c:v>6.6</c:v>
                </c:pt>
                <c:pt idx="199">
                  <c:v>6.6333333333333329</c:v>
                </c:pt>
                <c:pt idx="200">
                  <c:v>6.666666666666667</c:v>
                </c:pt>
                <c:pt idx="201">
                  <c:v>6.7</c:v>
                </c:pt>
                <c:pt idx="202">
                  <c:v>6.7333333333333334</c:v>
                </c:pt>
                <c:pt idx="203">
                  <c:v>6.7666666666666666</c:v>
                </c:pt>
                <c:pt idx="204">
                  <c:v>6.8</c:v>
                </c:pt>
                <c:pt idx="205">
                  <c:v>6.833333333333333</c:v>
                </c:pt>
                <c:pt idx="206">
                  <c:v>6.8666666666666663</c:v>
                </c:pt>
                <c:pt idx="207">
                  <c:v>6.8999999999999986</c:v>
                </c:pt>
                <c:pt idx="208">
                  <c:v>6.9333333333333336</c:v>
                </c:pt>
                <c:pt idx="209">
                  <c:v>6.9666666666666668</c:v>
                </c:pt>
                <c:pt idx="210">
                  <c:v>7</c:v>
                </c:pt>
                <c:pt idx="211">
                  <c:v>7.0333333333333332</c:v>
                </c:pt>
                <c:pt idx="212">
                  <c:v>7.0666666666666664</c:v>
                </c:pt>
                <c:pt idx="213">
                  <c:v>7.1</c:v>
                </c:pt>
                <c:pt idx="214">
                  <c:v>7.1333333333333329</c:v>
                </c:pt>
                <c:pt idx="215">
                  <c:v>7.166666666666667</c:v>
                </c:pt>
                <c:pt idx="216">
                  <c:v>7.2</c:v>
                </c:pt>
                <c:pt idx="217">
                  <c:v>7.2333333333333334</c:v>
                </c:pt>
                <c:pt idx="218">
                  <c:v>7.2666666666666666</c:v>
                </c:pt>
                <c:pt idx="219">
                  <c:v>7.3</c:v>
                </c:pt>
                <c:pt idx="220">
                  <c:v>7.333333333333333</c:v>
                </c:pt>
                <c:pt idx="221">
                  <c:v>7.3666666666666663</c:v>
                </c:pt>
                <c:pt idx="222">
                  <c:v>7.3999999999999986</c:v>
                </c:pt>
                <c:pt idx="223">
                  <c:v>7.4333333333333336</c:v>
                </c:pt>
                <c:pt idx="224">
                  <c:v>7.4666666666666668</c:v>
                </c:pt>
                <c:pt idx="225">
                  <c:v>7.5</c:v>
                </c:pt>
                <c:pt idx="226">
                  <c:v>7.5333333333333332</c:v>
                </c:pt>
                <c:pt idx="227">
                  <c:v>7.5666666666666664</c:v>
                </c:pt>
                <c:pt idx="228">
                  <c:v>7.6</c:v>
                </c:pt>
                <c:pt idx="229">
                  <c:v>7.6333333333333329</c:v>
                </c:pt>
                <c:pt idx="230">
                  <c:v>7.666666666666667</c:v>
                </c:pt>
                <c:pt idx="231">
                  <c:v>7.7</c:v>
                </c:pt>
                <c:pt idx="232">
                  <c:v>7.7333333333333334</c:v>
                </c:pt>
                <c:pt idx="233">
                  <c:v>7.7666666666666666</c:v>
                </c:pt>
                <c:pt idx="234">
                  <c:v>7.8</c:v>
                </c:pt>
                <c:pt idx="235">
                  <c:v>7.833333333333333</c:v>
                </c:pt>
                <c:pt idx="236">
                  <c:v>7.8666666666666663</c:v>
                </c:pt>
                <c:pt idx="237">
                  <c:v>7.8999999999999986</c:v>
                </c:pt>
                <c:pt idx="238">
                  <c:v>7.9333333333333336</c:v>
                </c:pt>
                <c:pt idx="239">
                  <c:v>7.9666666666666668</c:v>
                </c:pt>
                <c:pt idx="240">
                  <c:v>8</c:v>
                </c:pt>
                <c:pt idx="241">
                  <c:v>8.0333333333333332</c:v>
                </c:pt>
                <c:pt idx="242">
                  <c:v>8.0666666666666664</c:v>
                </c:pt>
                <c:pt idx="243">
                  <c:v>8.1</c:v>
                </c:pt>
                <c:pt idx="244">
                  <c:v>8.1333333333333329</c:v>
                </c:pt>
                <c:pt idx="245">
                  <c:v>8.1666666666666661</c:v>
                </c:pt>
                <c:pt idx="246">
                  <c:v>8.1999999999999993</c:v>
                </c:pt>
                <c:pt idx="247">
                  <c:v>8.2333333333333325</c:v>
                </c:pt>
                <c:pt idx="248">
                  <c:v>8.2666666666666657</c:v>
                </c:pt>
                <c:pt idx="249">
                  <c:v>8.3000000000000007</c:v>
                </c:pt>
                <c:pt idx="250">
                  <c:v>8.3333333333333339</c:v>
                </c:pt>
                <c:pt idx="251">
                  <c:v>8.3666666666666671</c:v>
                </c:pt>
                <c:pt idx="252">
                  <c:v>8.4</c:v>
                </c:pt>
                <c:pt idx="253">
                  <c:v>8.4333333333333336</c:v>
                </c:pt>
                <c:pt idx="254">
                  <c:v>8.4666666666666668</c:v>
                </c:pt>
                <c:pt idx="255">
                  <c:v>8.5</c:v>
                </c:pt>
                <c:pt idx="256">
                  <c:v>8.5333333333333332</c:v>
                </c:pt>
                <c:pt idx="257">
                  <c:v>8.5666666666666664</c:v>
                </c:pt>
                <c:pt idx="258">
                  <c:v>8.6</c:v>
                </c:pt>
                <c:pt idx="259">
                  <c:v>8.6333333333333329</c:v>
                </c:pt>
                <c:pt idx="260">
                  <c:v>8.6666666666666661</c:v>
                </c:pt>
                <c:pt idx="261">
                  <c:v>8.6999999999999993</c:v>
                </c:pt>
                <c:pt idx="262">
                  <c:v>8.7333333333333325</c:v>
                </c:pt>
                <c:pt idx="263">
                  <c:v>8.7666666666666657</c:v>
                </c:pt>
                <c:pt idx="264">
                  <c:v>8.8000000000000007</c:v>
                </c:pt>
                <c:pt idx="265">
                  <c:v>8.8333333333333339</c:v>
                </c:pt>
                <c:pt idx="266">
                  <c:v>8.8666666666666671</c:v>
                </c:pt>
                <c:pt idx="267">
                  <c:v>8.9</c:v>
                </c:pt>
                <c:pt idx="268">
                  <c:v>8.9333333333333336</c:v>
                </c:pt>
                <c:pt idx="269">
                  <c:v>8.9666666666666668</c:v>
                </c:pt>
                <c:pt idx="270">
                  <c:v>9</c:v>
                </c:pt>
                <c:pt idx="271">
                  <c:v>9.0333333333333332</c:v>
                </c:pt>
                <c:pt idx="272">
                  <c:v>9.0666666666666664</c:v>
                </c:pt>
                <c:pt idx="273">
                  <c:v>9.1</c:v>
                </c:pt>
                <c:pt idx="274">
                  <c:v>9.1333333333333329</c:v>
                </c:pt>
                <c:pt idx="275">
                  <c:v>9.1666666666666661</c:v>
                </c:pt>
                <c:pt idx="276">
                  <c:v>9.1999999999999993</c:v>
                </c:pt>
                <c:pt idx="277">
                  <c:v>9.2333333333333325</c:v>
                </c:pt>
                <c:pt idx="278">
                  <c:v>9.2666666666666657</c:v>
                </c:pt>
                <c:pt idx="279">
                  <c:v>9.3000000000000007</c:v>
                </c:pt>
                <c:pt idx="280">
                  <c:v>9.3333333333333339</c:v>
                </c:pt>
                <c:pt idx="281">
                  <c:v>9.3666666666666671</c:v>
                </c:pt>
                <c:pt idx="282">
                  <c:v>9.4</c:v>
                </c:pt>
                <c:pt idx="283">
                  <c:v>9.4333333333333336</c:v>
                </c:pt>
                <c:pt idx="284">
                  <c:v>9.4666666666666668</c:v>
                </c:pt>
                <c:pt idx="285">
                  <c:v>9.5</c:v>
                </c:pt>
                <c:pt idx="286">
                  <c:v>9.5333333333333332</c:v>
                </c:pt>
                <c:pt idx="287">
                  <c:v>9.5666666666666664</c:v>
                </c:pt>
                <c:pt idx="288">
                  <c:v>9.6</c:v>
                </c:pt>
                <c:pt idx="289">
                  <c:v>9.6333333333333329</c:v>
                </c:pt>
                <c:pt idx="290">
                  <c:v>9.6666666666666661</c:v>
                </c:pt>
                <c:pt idx="291">
                  <c:v>9.6999999999999993</c:v>
                </c:pt>
              </c:numCache>
            </c:numRef>
          </c:xVal>
          <c:yVal>
            <c:numRef>
              <c:f>'att6'!$B$2:$B$293</c:f>
              <c:numCache>
                <c:formatCode>General</c:formatCode>
                <c:ptCount val="292"/>
                <c:pt idx="0">
                  <c:v>15.69306253759599</c:v>
                </c:pt>
                <c:pt idx="1">
                  <c:v>15.494457228366111</c:v>
                </c:pt>
                <c:pt idx="2">
                  <c:v>15.494457228366111</c:v>
                </c:pt>
                <c:pt idx="3">
                  <c:v>14.61380834960891</c:v>
                </c:pt>
                <c:pt idx="4">
                  <c:v>14.135155213671419</c:v>
                </c:pt>
                <c:pt idx="5">
                  <c:v>14.135155213671419</c:v>
                </c:pt>
                <c:pt idx="6">
                  <c:v>13.38840355495592</c:v>
                </c:pt>
                <c:pt idx="7">
                  <c:v>13.17915897919173</c:v>
                </c:pt>
                <c:pt idx="8">
                  <c:v>13.17915897919173</c:v>
                </c:pt>
                <c:pt idx="9">
                  <c:v>12.65121189151065</c:v>
                </c:pt>
                <c:pt idx="10">
                  <c:v>12.517427722247691</c:v>
                </c:pt>
                <c:pt idx="11">
                  <c:v>12.517427722247691</c:v>
                </c:pt>
                <c:pt idx="12">
                  <c:v>12.26715319494166</c:v>
                </c:pt>
                <c:pt idx="13">
                  <c:v>12.15633738372696</c:v>
                </c:pt>
                <c:pt idx="14">
                  <c:v>12.15633738372696</c:v>
                </c:pt>
                <c:pt idx="15">
                  <c:v>11.10215422562449</c:v>
                </c:pt>
                <c:pt idx="16">
                  <c:v>11.10215422562449</c:v>
                </c:pt>
                <c:pt idx="17">
                  <c:v>11.10215422562449</c:v>
                </c:pt>
                <c:pt idx="18">
                  <c:v>11.16512695770138</c:v>
                </c:pt>
                <c:pt idx="19">
                  <c:v>11.16512695770138</c:v>
                </c:pt>
                <c:pt idx="20">
                  <c:v>11.16512695770138</c:v>
                </c:pt>
                <c:pt idx="21">
                  <c:v>11.28981579824632</c:v>
                </c:pt>
                <c:pt idx="22">
                  <c:v>11.410864841470371</c:v>
                </c:pt>
                <c:pt idx="23">
                  <c:v>11.410864841470371</c:v>
                </c:pt>
                <c:pt idx="24">
                  <c:v>11.765206719759179</c:v>
                </c:pt>
                <c:pt idx="25">
                  <c:v>11.85800481619977</c:v>
                </c:pt>
                <c:pt idx="26">
                  <c:v>11.85800481619977</c:v>
                </c:pt>
                <c:pt idx="27">
                  <c:v>12.504196037934589</c:v>
                </c:pt>
                <c:pt idx="28">
                  <c:v>12.715723181160349</c:v>
                </c:pt>
                <c:pt idx="29">
                  <c:v>12.715723181160349</c:v>
                </c:pt>
                <c:pt idx="30">
                  <c:v>13.24191361302606</c:v>
                </c:pt>
                <c:pt idx="31">
                  <c:v>13.499732532816189</c:v>
                </c:pt>
                <c:pt idx="32">
                  <c:v>13.499732532816189</c:v>
                </c:pt>
                <c:pt idx="33">
                  <c:v>14.334713635234889</c:v>
                </c:pt>
                <c:pt idx="34">
                  <c:v>14.671613373582311</c:v>
                </c:pt>
                <c:pt idx="35">
                  <c:v>14.671613373582311</c:v>
                </c:pt>
                <c:pt idx="36">
                  <c:v>15.523898974671591</c:v>
                </c:pt>
                <c:pt idx="37">
                  <c:v>15.844407789040901</c:v>
                </c:pt>
                <c:pt idx="38">
                  <c:v>15.844407789040901</c:v>
                </c:pt>
                <c:pt idx="39">
                  <c:v>16.937572932940341</c:v>
                </c:pt>
                <c:pt idx="40">
                  <c:v>17.522897389304521</c:v>
                </c:pt>
                <c:pt idx="41">
                  <c:v>17.522897389304521</c:v>
                </c:pt>
                <c:pt idx="42">
                  <c:v>18.389249027086031</c:v>
                </c:pt>
                <c:pt idx="43">
                  <c:v>19.689582201326839</c:v>
                </c:pt>
                <c:pt idx="44">
                  <c:v>19.689582201326839</c:v>
                </c:pt>
                <c:pt idx="45">
                  <c:v>20.123043127871409</c:v>
                </c:pt>
                <c:pt idx="46">
                  <c:v>21.324055603706149</c:v>
                </c:pt>
                <c:pt idx="47">
                  <c:v>21.324055603706149</c:v>
                </c:pt>
                <c:pt idx="48">
                  <c:v>22.573110454680329</c:v>
                </c:pt>
                <c:pt idx="49">
                  <c:v>23.421779690212809</c:v>
                </c:pt>
                <c:pt idx="50">
                  <c:v>23.421779690212809</c:v>
                </c:pt>
                <c:pt idx="51">
                  <c:v>24.77122653580598</c:v>
                </c:pt>
                <c:pt idx="52">
                  <c:v>25.557275109928419</c:v>
                </c:pt>
                <c:pt idx="53">
                  <c:v>25.557275109928419</c:v>
                </c:pt>
                <c:pt idx="54">
                  <c:v>26.801894663300509</c:v>
                </c:pt>
                <c:pt idx="55">
                  <c:v>27.563135116545681</c:v>
                </c:pt>
                <c:pt idx="56">
                  <c:v>27.563135116545681</c:v>
                </c:pt>
                <c:pt idx="57">
                  <c:v>29.06085740475249</c:v>
                </c:pt>
                <c:pt idx="58">
                  <c:v>29.851443868251991</c:v>
                </c:pt>
                <c:pt idx="59">
                  <c:v>29.851443868251991</c:v>
                </c:pt>
                <c:pt idx="60">
                  <c:v>31.516689774408722</c:v>
                </c:pt>
                <c:pt idx="61">
                  <c:v>32.351485222725138</c:v>
                </c:pt>
                <c:pt idx="62">
                  <c:v>32.351485222725138</c:v>
                </c:pt>
                <c:pt idx="63">
                  <c:v>33.94938163670156</c:v>
                </c:pt>
                <c:pt idx="64">
                  <c:v>34.591984026867692</c:v>
                </c:pt>
                <c:pt idx="65">
                  <c:v>34.591984026867692</c:v>
                </c:pt>
                <c:pt idx="66">
                  <c:v>36.11658192987715</c:v>
                </c:pt>
                <c:pt idx="67">
                  <c:v>36.721051525179931</c:v>
                </c:pt>
                <c:pt idx="68">
                  <c:v>36.749925466878253</c:v>
                </c:pt>
                <c:pt idx="69">
                  <c:v>38.15859882543873</c:v>
                </c:pt>
                <c:pt idx="70">
                  <c:v>38.899702219598659</c:v>
                </c:pt>
                <c:pt idx="71">
                  <c:v>38.899702219598659</c:v>
                </c:pt>
                <c:pt idx="72">
                  <c:v>40.259217028009289</c:v>
                </c:pt>
                <c:pt idx="73">
                  <c:v>41.008001578145581</c:v>
                </c:pt>
                <c:pt idx="74">
                  <c:v>41.008001578145581</c:v>
                </c:pt>
                <c:pt idx="75">
                  <c:v>42.644689897666296</c:v>
                </c:pt>
                <c:pt idx="76">
                  <c:v>43.250625771334363</c:v>
                </c:pt>
                <c:pt idx="77">
                  <c:v>43.250625771334363</c:v>
                </c:pt>
                <c:pt idx="78">
                  <c:v>44.822976715178172</c:v>
                </c:pt>
                <c:pt idx="79">
                  <c:v>45.939900566430509</c:v>
                </c:pt>
                <c:pt idx="80">
                  <c:v>45.939900566430509</c:v>
                </c:pt>
                <c:pt idx="81">
                  <c:v>49.161440646538473</c:v>
                </c:pt>
                <c:pt idx="82">
                  <c:v>51.516485264144563</c:v>
                </c:pt>
                <c:pt idx="83">
                  <c:v>51.516485264144563</c:v>
                </c:pt>
                <c:pt idx="105">
                  <c:v>57.4864797473899</c:v>
                </c:pt>
                <c:pt idx="108">
                  <c:v>56.928199816651073</c:v>
                </c:pt>
                <c:pt idx="109">
                  <c:v>56.816186432190861</c:v>
                </c:pt>
                <c:pt idx="110">
                  <c:v>56.816186432190861</c:v>
                </c:pt>
                <c:pt idx="111">
                  <c:v>56.503418726993807</c:v>
                </c:pt>
                <c:pt idx="112">
                  <c:v>56.503418726993807</c:v>
                </c:pt>
                <c:pt idx="113">
                  <c:v>56.503418726993807</c:v>
                </c:pt>
                <c:pt idx="114">
                  <c:v>55.962404308407613</c:v>
                </c:pt>
                <c:pt idx="115">
                  <c:v>56.160004143029298</c:v>
                </c:pt>
                <c:pt idx="116">
                  <c:v>56.160004143029298</c:v>
                </c:pt>
                <c:pt idx="117">
                  <c:v>55.893474707128497</c:v>
                </c:pt>
                <c:pt idx="118">
                  <c:v>55.845552486743571</c:v>
                </c:pt>
                <c:pt idx="119">
                  <c:v>55.845552486743571</c:v>
                </c:pt>
                <c:pt idx="120">
                  <c:v>55.573340505081973</c:v>
                </c:pt>
                <c:pt idx="121">
                  <c:v>55.256445709417747</c:v>
                </c:pt>
                <c:pt idx="122">
                  <c:v>55.256445709417747</c:v>
                </c:pt>
                <c:pt idx="123">
                  <c:v>54.882336683458981</c:v>
                </c:pt>
                <c:pt idx="124">
                  <c:v>54.643077115645482</c:v>
                </c:pt>
                <c:pt idx="125">
                  <c:v>54.643077115645482</c:v>
                </c:pt>
                <c:pt idx="126">
                  <c:v>54.184128137247527</c:v>
                </c:pt>
                <c:pt idx="127">
                  <c:v>53.877326743717148</c:v>
                </c:pt>
                <c:pt idx="128">
                  <c:v>53.877326743717148</c:v>
                </c:pt>
                <c:pt idx="129">
                  <c:v>53.284773299952178</c:v>
                </c:pt>
                <c:pt idx="130">
                  <c:v>52.925910585133757</c:v>
                </c:pt>
                <c:pt idx="131">
                  <c:v>52.925910585133757</c:v>
                </c:pt>
                <c:pt idx="132">
                  <c:v>52.06399519044794</c:v>
                </c:pt>
                <c:pt idx="133">
                  <c:v>51.45188797694405</c:v>
                </c:pt>
                <c:pt idx="134">
                  <c:v>51.45188797694405</c:v>
                </c:pt>
                <c:pt idx="135">
                  <c:v>50.78472546779642</c:v>
                </c:pt>
                <c:pt idx="136">
                  <c:v>50.470865126706663</c:v>
                </c:pt>
                <c:pt idx="137">
                  <c:v>50.500919437634508</c:v>
                </c:pt>
                <c:pt idx="138">
                  <c:v>49.442318405265141</c:v>
                </c:pt>
                <c:pt idx="139">
                  <c:v>48.74767291725486</c:v>
                </c:pt>
                <c:pt idx="140">
                  <c:v>48.74767291725486</c:v>
                </c:pt>
                <c:pt idx="141">
                  <c:v>47.381187168175359</c:v>
                </c:pt>
                <c:pt idx="142">
                  <c:v>47.002725037331828</c:v>
                </c:pt>
                <c:pt idx="143">
                  <c:v>47.002725037331828</c:v>
                </c:pt>
                <c:pt idx="144">
                  <c:v>45.85190092099274</c:v>
                </c:pt>
                <c:pt idx="145">
                  <c:v>45.2690779739522</c:v>
                </c:pt>
                <c:pt idx="146">
                  <c:v>45.21673938705905</c:v>
                </c:pt>
                <c:pt idx="147">
                  <c:v>44.109995482376981</c:v>
                </c:pt>
                <c:pt idx="148">
                  <c:v>43.315946265922648</c:v>
                </c:pt>
                <c:pt idx="149">
                  <c:v>43.315946265922648</c:v>
                </c:pt>
                <c:pt idx="150">
                  <c:v>42.213876816112482</c:v>
                </c:pt>
                <c:pt idx="151">
                  <c:v>41.510322065334357</c:v>
                </c:pt>
                <c:pt idx="152">
                  <c:v>41.510322065334357</c:v>
                </c:pt>
                <c:pt idx="153">
                  <c:v>40.217624923999168</c:v>
                </c:pt>
                <c:pt idx="154">
                  <c:v>39.440702922262638</c:v>
                </c:pt>
                <c:pt idx="155">
                  <c:v>39.440702922262638</c:v>
                </c:pt>
                <c:pt idx="156">
                  <c:v>37.685330519632451</c:v>
                </c:pt>
                <c:pt idx="157">
                  <c:v>36.749925466878217</c:v>
                </c:pt>
                <c:pt idx="158">
                  <c:v>36.951558123528308</c:v>
                </c:pt>
                <c:pt idx="159">
                  <c:v>35.369764334342477</c:v>
                </c:pt>
                <c:pt idx="160">
                  <c:v>34.36367550042079</c:v>
                </c:pt>
                <c:pt idx="161">
                  <c:v>34.36367550042079</c:v>
                </c:pt>
                <c:pt idx="162">
                  <c:v>32.936103971023563</c:v>
                </c:pt>
                <c:pt idx="163">
                  <c:v>32.414357562437097</c:v>
                </c:pt>
                <c:pt idx="164">
                  <c:v>32.414357562437097</c:v>
                </c:pt>
                <c:pt idx="165">
                  <c:v>30.59541259424385</c:v>
                </c:pt>
                <c:pt idx="166">
                  <c:v>8.9012725701718995</c:v>
                </c:pt>
                <c:pt idx="167">
                  <c:v>8.8356913444194927</c:v>
                </c:pt>
                <c:pt idx="168">
                  <c:v>10.24359895688479</c:v>
                </c:pt>
                <c:pt idx="169">
                  <c:v>11.66475703555982</c:v>
                </c:pt>
                <c:pt idx="170">
                  <c:v>11.632547699318829</c:v>
                </c:pt>
                <c:pt idx="171">
                  <c:v>13.17915897919173</c:v>
                </c:pt>
                <c:pt idx="172">
                  <c:v>14.03178275640121</c:v>
                </c:pt>
                <c:pt idx="173">
                  <c:v>14.03178275640121</c:v>
                </c:pt>
                <c:pt idx="174">
                  <c:v>15.33914001144676</c:v>
                </c:pt>
                <c:pt idx="175">
                  <c:v>16.002420517142252</c:v>
                </c:pt>
                <c:pt idx="176">
                  <c:v>16.002420517142252</c:v>
                </c:pt>
                <c:pt idx="177">
                  <c:v>17.295638595502769</c:v>
                </c:pt>
                <c:pt idx="178">
                  <c:v>17.725935627275049</c:v>
                </c:pt>
                <c:pt idx="179">
                  <c:v>17.725935627275049</c:v>
                </c:pt>
                <c:pt idx="180">
                  <c:v>18.988196790894179</c:v>
                </c:pt>
                <c:pt idx="181">
                  <c:v>19.256096463557551</c:v>
                </c:pt>
                <c:pt idx="182">
                  <c:v>19.256096463557551</c:v>
                </c:pt>
                <c:pt idx="183">
                  <c:v>18.579253785273519</c:v>
                </c:pt>
                <c:pt idx="184">
                  <c:v>18.154670257619959</c:v>
                </c:pt>
                <c:pt idx="185">
                  <c:v>18.154670257619959</c:v>
                </c:pt>
                <c:pt idx="186">
                  <c:v>17.21114201324707</c:v>
                </c:pt>
                <c:pt idx="187">
                  <c:v>16.64913289482147</c:v>
                </c:pt>
                <c:pt idx="188">
                  <c:v>16.64913289482147</c:v>
                </c:pt>
                <c:pt idx="189">
                  <c:v>15.76795364438358</c:v>
                </c:pt>
                <c:pt idx="190">
                  <c:v>15.271977664469221</c:v>
                </c:pt>
                <c:pt idx="191">
                  <c:v>15.31102211856852</c:v>
                </c:pt>
                <c:pt idx="192">
                  <c:v>14.61380834960891</c:v>
                </c:pt>
                <c:pt idx="193">
                  <c:v>14.27625860774693</c:v>
                </c:pt>
                <c:pt idx="194">
                  <c:v>14.209634706758511</c:v>
                </c:pt>
                <c:pt idx="195">
                  <c:v>13.499732532816189</c:v>
                </c:pt>
                <c:pt idx="196">
                  <c:v>13.17915897919173</c:v>
                </c:pt>
                <c:pt idx="197">
                  <c:v>13.17915897919173</c:v>
                </c:pt>
                <c:pt idx="198">
                  <c:v>12.590674703297839</c:v>
                </c:pt>
                <c:pt idx="199">
                  <c:v>12.35386899850384</c:v>
                </c:pt>
                <c:pt idx="200">
                  <c:v>12.29593716568435</c:v>
                </c:pt>
                <c:pt idx="201">
                  <c:v>12.056531329829079</c:v>
                </c:pt>
                <c:pt idx="202">
                  <c:v>11.800989016340051</c:v>
                </c:pt>
                <c:pt idx="203">
                  <c:v>11.75925992175938</c:v>
                </c:pt>
                <c:pt idx="204">
                  <c:v>11.554071640590809</c:v>
                </c:pt>
                <c:pt idx="205">
                  <c:v>10.95356184796726</c:v>
                </c:pt>
                <c:pt idx="206">
                  <c:v>10.95356184796726</c:v>
                </c:pt>
                <c:pt idx="207">
                  <c:v>10.802409563726551</c:v>
                </c:pt>
                <c:pt idx="208">
                  <c:v>10.50313916017369</c:v>
                </c:pt>
                <c:pt idx="209">
                  <c:v>10.50313916017369</c:v>
                </c:pt>
                <c:pt idx="210">
                  <c:v>10.633387213743999</c:v>
                </c:pt>
                <c:pt idx="211">
                  <c:v>10.69539263946684</c:v>
                </c:pt>
                <c:pt idx="212">
                  <c:v>10.69539263946684</c:v>
                </c:pt>
                <c:pt idx="213">
                  <c:v>10.9965043621412</c:v>
                </c:pt>
                <c:pt idx="214">
                  <c:v>11.09942763535809</c:v>
                </c:pt>
                <c:pt idx="215">
                  <c:v>11.115801286503739</c:v>
                </c:pt>
                <c:pt idx="216">
                  <c:v>11.554071640590809</c:v>
                </c:pt>
                <c:pt idx="217">
                  <c:v>11.836947098491811</c:v>
                </c:pt>
                <c:pt idx="218">
                  <c:v>11.836947098491811</c:v>
                </c:pt>
                <c:pt idx="219">
                  <c:v>12.305558596283429</c:v>
                </c:pt>
                <c:pt idx="220">
                  <c:v>12.58063884879089</c:v>
                </c:pt>
                <c:pt idx="221">
                  <c:v>12.65121189151065</c:v>
                </c:pt>
                <c:pt idx="222">
                  <c:v>13.12431884836036</c:v>
                </c:pt>
                <c:pt idx="223">
                  <c:v>13.53082191677842</c:v>
                </c:pt>
                <c:pt idx="224">
                  <c:v>13.53082191677842</c:v>
                </c:pt>
                <c:pt idx="225">
                  <c:v>14.334713635234889</c:v>
                </c:pt>
                <c:pt idx="226">
                  <c:v>14.74980803633631</c:v>
                </c:pt>
                <c:pt idx="227">
                  <c:v>14.74980803633631</c:v>
                </c:pt>
                <c:pt idx="228">
                  <c:v>15.793259917671421</c:v>
                </c:pt>
                <c:pt idx="229">
                  <c:v>16.225163442615209</c:v>
                </c:pt>
                <c:pt idx="230">
                  <c:v>16.225163442615209</c:v>
                </c:pt>
                <c:pt idx="231">
                  <c:v>17.090031081134601</c:v>
                </c:pt>
                <c:pt idx="232">
                  <c:v>17.522897389304521</c:v>
                </c:pt>
                <c:pt idx="233">
                  <c:v>17.522897389304521</c:v>
                </c:pt>
                <c:pt idx="234">
                  <c:v>20.123043127871409</c:v>
                </c:pt>
                <c:pt idx="235">
                  <c:v>19.689582201326839</c:v>
                </c:pt>
                <c:pt idx="236">
                  <c:v>19.689582201326839</c:v>
                </c:pt>
                <c:pt idx="237">
                  <c:v>20.55642963779837</c:v>
                </c:pt>
                <c:pt idx="238">
                  <c:v>21.20626149379293</c:v>
                </c:pt>
                <c:pt idx="239">
                  <c:v>21.20626149379293</c:v>
                </c:pt>
                <c:pt idx="240">
                  <c:v>23.25261612728842</c:v>
                </c:pt>
                <c:pt idx="241">
                  <c:v>23.932103743054121</c:v>
                </c:pt>
                <c:pt idx="242">
                  <c:v>23.932103743054121</c:v>
                </c:pt>
                <c:pt idx="243">
                  <c:v>25.414856748105979</c:v>
                </c:pt>
                <c:pt idx="244">
                  <c:v>26.133704607359121</c:v>
                </c:pt>
                <c:pt idx="245">
                  <c:v>26.04653177526669</c:v>
                </c:pt>
                <c:pt idx="246">
                  <c:v>27.466411476857228</c:v>
                </c:pt>
                <c:pt idx="247">
                  <c:v>28.229513778229968</c:v>
                </c:pt>
                <c:pt idx="248">
                  <c:v>28.229513778229968</c:v>
                </c:pt>
                <c:pt idx="249">
                  <c:v>29.890348065983851</c:v>
                </c:pt>
                <c:pt idx="250">
                  <c:v>30.57330441606786</c:v>
                </c:pt>
                <c:pt idx="251">
                  <c:v>30.57330441606786</c:v>
                </c:pt>
                <c:pt idx="252">
                  <c:v>32.167671017469459</c:v>
                </c:pt>
                <c:pt idx="253">
                  <c:v>32.871139139511001</c:v>
                </c:pt>
                <c:pt idx="254">
                  <c:v>33.060156183158128</c:v>
                </c:pt>
                <c:pt idx="255">
                  <c:v>34.494031378991153</c:v>
                </c:pt>
                <c:pt idx="256">
                  <c:v>35.445439822091771</c:v>
                </c:pt>
                <c:pt idx="257">
                  <c:v>35.445439822091771</c:v>
                </c:pt>
                <c:pt idx="258">
                  <c:v>36.984683673735312</c:v>
                </c:pt>
                <c:pt idx="259">
                  <c:v>37.548638161852672</c:v>
                </c:pt>
                <c:pt idx="260">
                  <c:v>37.548638161852672</c:v>
                </c:pt>
                <c:pt idx="261">
                  <c:v>38.899702219598659</c:v>
                </c:pt>
                <c:pt idx="262">
                  <c:v>39.74458912080393</c:v>
                </c:pt>
                <c:pt idx="263">
                  <c:v>39.74458912080393</c:v>
                </c:pt>
                <c:pt idx="264">
                  <c:v>41.100310734829307</c:v>
                </c:pt>
                <c:pt idx="265">
                  <c:v>41.990170190575327</c:v>
                </c:pt>
                <c:pt idx="266">
                  <c:v>41.990170190575327</c:v>
                </c:pt>
                <c:pt idx="267">
                  <c:v>43.179558771366807</c:v>
                </c:pt>
                <c:pt idx="268">
                  <c:v>43.985437731944437</c:v>
                </c:pt>
                <c:pt idx="269">
                  <c:v>43.985437731944437</c:v>
                </c:pt>
                <c:pt idx="270">
                  <c:v>45.939900566430509</c:v>
                </c:pt>
                <c:pt idx="271">
                  <c:v>47.389647127899423</c:v>
                </c:pt>
                <c:pt idx="272">
                  <c:v>47.389647127899423</c:v>
                </c:pt>
                <c:pt idx="273">
                  <c:v>51.516485264144563</c:v>
                </c:pt>
                <c:pt idx="274">
                  <c:v>55.887717190220357</c:v>
                </c:pt>
                <c:pt idx="275">
                  <c:v>55.887717190220357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B3-4944-8223-6B3916A3DDE0}"/>
            </c:ext>
          </c:extLst>
        </c:ser>
        <c:ser>
          <c:idx val="1"/>
          <c:order val="1"/>
          <c:tx>
            <c:strRef>
              <c:f>'att6'!$C$1</c:f>
              <c:strCache>
                <c:ptCount val="1"/>
                <c:pt idx="0">
                  <c:v>roll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'att6'!$A$2:$A$293</c:f>
              <c:numCache>
                <c:formatCode>General</c:formatCode>
                <c:ptCount val="292"/>
                <c:pt idx="0">
                  <c:v>0</c:v>
                </c:pt>
                <c:pt idx="1">
                  <c:v>3.3333333333333333E-2</c:v>
                </c:pt>
                <c:pt idx="2">
                  <c:v>6.6666666666666666E-2</c:v>
                </c:pt>
                <c:pt idx="3">
                  <c:v>0.1</c:v>
                </c:pt>
                <c:pt idx="4">
                  <c:v>0.1333333333333333</c:v>
                </c:pt>
                <c:pt idx="5">
                  <c:v>0.16666666666666671</c:v>
                </c:pt>
                <c:pt idx="6">
                  <c:v>0.2</c:v>
                </c:pt>
                <c:pt idx="7">
                  <c:v>0.23333333333333331</c:v>
                </c:pt>
                <c:pt idx="8">
                  <c:v>0.26666666666666672</c:v>
                </c:pt>
                <c:pt idx="9">
                  <c:v>0.3</c:v>
                </c:pt>
                <c:pt idx="10">
                  <c:v>0.33333333333333331</c:v>
                </c:pt>
                <c:pt idx="11">
                  <c:v>0.36666666666666659</c:v>
                </c:pt>
                <c:pt idx="12">
                  <c:v>0.4</c:v>
                </c:pt>
                <c:pt idx="13">
                  <c:v>0.43333333333333329</c:v>
                </c:pt>
                <c:pt idx="14">
                  <c:v>0.46666666666666667</c:v>
                </c:pt>
                <c:pt idx="15">
                  <c:v>0.5</c:v>
                </c:pt>
                <c:pt idx="16">
                  <c:v>0.53333333333333333</c:v>
                </c:pt>
                <c:pt idx="17">
                  <c:v>0.56666666666666665</c:v>
                </c:pt>
                <c:pt idx="18">
                  <c:v>0.6</c:v>
                </c:pt>
                <c:pt idx="19">
                  <c:v>0.6333333333333333</c:v>
                </c:pt>
                <c:pt idx="20">
                  <c:v>0.66666666666666663</c:v>
                </c:pt>
                <c:pt idx="21">
                  <c:v>0.7</c:v>
                </c:pt>
                <c:pt idx="22">
                  <c:v>0.73333333333333328</c:v>
                </c:pt>
                <c:pt idx="23">
                  <c:v>0.76666666666666661</c:v>
                </c:pt>
                <c:pt idx="24">
                  <c:v>0.8</c:v>
                </c:pt>
                <c:pt idx="25">
                  <c:v>0.83333333333333337</c:v>
                </c:pt>
                <c:pt idx="26">
                  <c:v>0.8666666666666667</c:v>
                </c:pt>
                <c:pt idx="27">
                  <c:v>0.9</c:v>
                </c:pt>
                <c:pt idx="28">
                  <c:v>0.93333333333333335</c:v>
                </c:pt>
                <c:pt idx="29">
                  <c:v>0.96666666666666667</c:v>
                </c:pt>
                <c:pt idx="30">
                  <c:v>1</c:v>
                </c:pt>
                <c:pt idx="31">
                  <c:v>1.033333333333333</c:v>
                </c:pt>
                <c:pt idx="32">
                  <c:v>1.0666666666666671</c:v>
                </c:pt>
                <c:pt idx="33">
                  <c:v>1.1000000000000001</c:v>
                </c:pt>
                <c:pt idx="34">
                  <c:v>1.1333333333333331</c:v>
                </c:pt>
                <c:pt idx="35">
                  <c:v>1.166666666666667</c:v>
                </c:pt>
                <c:pt idx="36">
                  <c:v>1.2</c:v>
                </c:pt>
                <c:pt idx="37">
                  <c:v>1.2333333333333329</c:v>
                </c:pt>
                <c:pt idx="38">
                  <c:v>1.2666666666666671</c:v>
                </c:pt>
                <c:pt idx="39">
                  <c:v>1.3</c:v>
                </c:pt>
                <c:pt idx="40">
                  <c:v>1.333333333333333</c:v>
                </c:pt>
                <c:pt idx="41">
                  <c:v>1.3666666666666669</c:v>
                </c:pt>
                <c:pt idx="42">
                  <c:v>1.4</c:v>
                </c:pt>
                <c:pt idx="43">
                  <c:v>1.4333333333333329</c:v>
                </c:pt>
                <c:pt idx="44">
                  <c:v>1.466666666666667</c:v>
                </c:pt>
                <c:pt idx="45">
                  <c:v>1.5</c:v>
                </c:pt>
                <c:pt idx="46">
                  <c:v>1.533333333333333</c:v>
                </c:pt>
                <c:pt idx="47">
                  <c:v>1.5666666666666671</c:v>
                </c:pt>
                <c:pt idx="48">
                  <c:v>1.6</c:v>
                </c:pt>
                <c:pt idx="49">
                  <c:v>1.6333333333333331</c:v>
                </c:pt>
                <c:pt idx="50">
                  <c:v>1.666666666666667</c:v>
                </c:pt>
                <c:pt idx="51">
                  <c:v>1.7</c:v>
                </c:pt>
                <c:pt idx="52">
                  <c:v>1.7333333333333329</c:v>
                </c:pt>
                <c:pt idx="53">
                  <c:v>1.7666666666666671</c:v>
                </c:pt>
                <c:pt idx="54">
                  <c:v>1.8</c:v>
                </c:pt>
                <c:pt idx="55">
                  <c:v>1.833333333333333</c:v>
                </c:pt>
                <c:pt idx="56">
                  <c:v>1.8666666666666669</c:v>
                </c:pt>
                <c:pt idx="57">
                  <c:v>1.9</c:v>
                </c:pt>
                <c:pt idx="58">
                  <c:v>1.9333333333333329</c:v>
                </c:pt>
                <c:pt idx="59">
                  <c:v>1.966666666666667</c:v>
                </c:pt>
                <c:pt idx="60">
                  <c:v>2</c:v>
                </c:pt>
                <c:pt idx="61">
                  <c:v>2.0333333333333332</c:v>
                </c:pt>
                <c:pt idx="62">
                  <c:v>2.066666666666666</c:v>
                </c:pt>
                <c:pt idx="63">
                  <c:v>2.1</c:v>
                </c:pt>
                <c:pt idx="64">
                  <c:v>2.1333333333333329</c:v>
                </c:pt>
                <c:pt idx="65">
                  <c:v>2.166666666666667</c:v>
                </c:pt>
                <c:pt idx="66">
                  <c:v>2.2000000000000002</c:v>
                </c:pt>
                <c:pt idx="67">
                  <c:v>2.2333333333333329</c:v>
                </c:pt>
                <c:pt idx="68">
                  <c:v>2.2666666666666671</c:v>
                </c:pt>
                <c:pt idx="69">
                  <c:v>2.2999999999999998</c:v>
                </c:pt>
                <c:pt idx="70">
                  <c:v>2.333333333333333</c:v>
                </c:pt>
                <c:pt idx="71">
                  <c:v>2.3666666666666671</c:v>
                </c:pt>
                <c:pt idx="72">
                  <c:v>2.4</c:v>
                </c:pt>
                <c:pt idx="73">
                  <c:v>2.4333333333333331</c:v>
                </c:pt>
                <c:pt idx="74">
                  <c:v>2.4666666666666668</c:v>
                </c:pt>
                <c:pt idx="75">
                  <c:v>2.5</c:v>
                </c:pt>
                <c:pt idx="76">
                  <c:v>2.5333333333333332</c:v>
                </c:pt>
                <c:pt idx="77">
                  <c:v>2.566666666666666</c:v>
                </c:pt>
                <c:pt idx="78">
                  <c:v>2.6</c:v>
                </c:pt>
                <c:pt idx="79">
                  <c:v>2.6333333333333329</c:v>
                </c:pt>
                <c:pt idx="80">
                  <c:v>2.666666666666667</c:v>
                </c:pt>
                <c:pt idx="81">
                  <c:v>2.7</c:v>
                </c:pt>
                <c:pt idx="82">
                  <c:v>2.7333333333333329</c:v>
                </c:pt>
                <c:pt idx="83">
                  <c:v>2.7666666666666671</c:v>
                </c:pt>
                <c:pt idx="84">
                  <c:v>2.8</c:v>
                </c:pt>
                <c:pt idx="85">
                  <c:v>2.833333333333333</c:v>
                </c:pt>
                <c:pt idx="86">
                  <c:v>2.8666666666666671</c:v>
                </c:pt>
                <c:pt idx="87">
                  <c:v>2.9</c:v>
                </c:pt>
                <c:pt idx="88">
                  <c:v>2.9333333333333331</c:v>
                </c:pt>
                <c:pt idx="89">
                  <c:v>2.9666666666666668</c:v>
                </c:pt>
                <c:pt idx="90">
                  <c:v>3</c:v>
                </c:pt>
                <c:pt idx="91">
                  <c:v>3.0333333333333332</c:v>
                </c:pt>
                <c:pt idx="92">
                  <c:v>3.066666666666666</c:v>
                </c:pt>
                <c:pt idx="93">
                  <c:v>3.1</c:v>
                </c:pt>
                <c:pt idx="94">
                  <c:v>3.1333333333333329</c:v>
                </c:pt>
                <c:pt idx="95">
                  <c:v>3.166666666666667</c:v>
                </c:pt>
                <c:pt idx="96">
                  <c:v>3.2</c:v>
                </c:pt>
                <c:pt idx="97">
                  <c:v>3.2333333333333329</c:v>
                </c:pt>
                <c:pt idx="98">
                  <c:v>3.2666666666666671</c:v>
                </c:pt>
                <c:pt idx="99">
                  <c:v>3.3</c:v>
                </c:pt>
                <c:pt idx="100">
                  <c:v>3.333333333333333</c:v>
                </c:pt>
                <c:pt idx="101">
                  <c:v>3.3666666666666671</c:v>
                </c:pt>
                <c:pt idx="102">
                  <c:v>3.4</c:v>
                </c:pt>
                <c:pt idx="103">
                  <c:v>3.4333333333333331</c:v>
                </c:pt>
                <c:pt idx="104">
                  <c:v>3.4666666666666668</c:v>
                </c:pt>
                <c:pt idx="105">
                  <c:v>3.5</c:v>
                </c:pt>
                <c:pt idx="106">
                  <c:v>3.5333333333333332</c:v>
                </c:pt>
                <c:pt idx="107">
                  <c:v>3.566666666666666</c:v>
                </c:pt>
                <c:pt idx="108">
                  <c:v>3.6</c:v>
                </c:pt>
                <c:pt idx="109">
                  <c:v>3.6333333333333329</c:v>
                </c:pt>
                <c:pt idx="110">
                  <c:v>3.666666666666667</c:v>
                </c:pt>
                <c:pt idx="111">
                  <c:v>3.7</c:v>
                </c:pt>
                <c:pt idx="112">
                  <c:v>3.7333333333333329</c:v>
                </c:pt>
                <c:pt idx="113">
                  <c:v>3.7666666666666671</c:v>
                </c:pt>
                <c:pt idx="114">
                  <c:v>3.8</c:v>
                </c:pt>
                <c:pt idx="115">
                  <c:v>3.833333333333333</c:v>
                </c:pt>
                <c:pt idx="116">
                  <c:v>3.8666666666666671</c:v>
                </c:pt>
                <c:pt idx="117">
                  <c:v>3.9</c:v>
                </c:pt>
                <c:pt idx="118">
                  <c:v>3.9333333333333331</c:v>
                </c:pt>
                <c:pt idx="119">
                  <c:v>3.9666666666666668</c:v>
                </c:pt>
                <c:pt idx="120">
                  <c:v>4</c:v>
                </c:pt>
                <c:pt idx="121">
                  <c:v>4.0333333333333332</c:v>
                </c:pt>
                <c:pt idx="122">
                  <c:v>4.0666666666666664</c:v>
                </c:pt>
                <c:pt idx="123">
                  <c:v>4.0999999999999996</c:v>
                </c:pt>
                <c:pt idx="124">
                  <c:v>4.1333333333333329</c:v>
                </c:pt>
                <c:pt idx="125">
                  <c:v>4.166666666666667</c:v>
                </c:pt>
                <c:pt idx="126">
                  <c:v>4.2</c:v>
                </c:pt>
                <c:pt idx="127">
                  <c:v>4.2333333333333334</c:v>
                </c:pt>
                <c:pt idx="128">
                  <c:v>4.2666666666666666</c:v>
                </c:pt>
                <c:pt idx="129">
                  <c:v>4.3</c:v>
                </c:pt>
                <c:pt idx="130">
                  <c:v>4.333333333333333</c:v>
                </c:pt>
                <c:pt idx="131">
                  <c:v>4.3666666666666663</c:v>
                </c:pt>
                <c:pt idx="132">
                  <c:v>4.4000000000000004</c:v>
                </c:pt>
                <c:pt idx="133">
                  <c:v>4.4333333333333336</c:v>
                </c:pt>
                <c:pt idx="134">
                  <c:v>4.4666666666666668</c:v>
                </c:pt>
                <c:pt idx="135">
                  <c:v>4.5</c:v>
                </c:pt>
                <c:pt idx="136">
                  <c:v>4.5333333333333332</c:v>
                </c:pt>
                <c:pt idx="137">
                  <c:v>4.5666666666666664</c:v>
                </c:pt>
                <c:pt idx="138">
                  <c:v>4.5999999999999996</c:v>
                </c:pt>
                <c:pt idx="139">
                  <c:v>4.6333333333333329</c:v>
                </c:pt>
                <c:pt idx="140">
                  <c:v>4.666666666666667</c:v>
                </c:pt>
                <c:pt idx="141">
                  <c:v>4.7</c:v>
                </c:pt>
                <c:pt idx="142">
                  <c:v>4.7333333333333334</c:v>
                </c:pt>
                <c:pt idx="143">
                  <c:v>4.7666666666666666</c:v>
                </c:pt>
                <c:pt idx="144">
                  <c:v>4.8</c:v>
                </c:pt>
                <c:pt idx="145">
                  <c:v>4.833333333333333</c:v>
                </c:pt>
                <c:pt idx="146">
                  <c:v>4.8666666666666663</c:v>
                </c:pt>
                <c:pt idx="147">
                  <c:v>4.9000000000000004</c:v>
                </c:pt>
                <c:pt idx="148">
                  <c:v>4.9333333333333336</c:v>
                </c:pt>
                <c:pt idx="149">
                  <c:v>4.9666666666666668</c:v>
                </c:pt>
                <c:pt idx="150">
                  <c:v>5</c:v>
                </c:pt>
                <c:pt idx="151">
                  <c:v>5.0333333333333332</c:v>
                </c:pt>
                <c:pt idx="152">
                  <c:v>5.0666666666666664</c:v>
                </c:pt>
                <c:pt idx="153">
                  <c:v>5.0999999999999996</c:v>
                </c:pt>
                <c:pt idx="154">
                  <c:v>5.1333333333333329</c:v>
                </c:pt>
                <c:pt idx="155">
                  <c:v>5.166666666666667</c:v>
                </c:pt>
                <c:pt idx="156">
                  <c:v>5.2</c:v>
                </c:pt>
                <c:pt idx="157">
                  <c:v>5.2333333333333334</c:v>
                </c:pt>
                <c:pt idx="158">
                  <c:v>5.2666666666666666</c:v>
                </c:pt>
                <c:pt idx="159">
                  <c:v>5.3</c:v>
                </c:pt>
                <c:pt idx="160">
                  <c:v>5.333333333333333</c:v>
                </c:pt>
                <c:pt idx="161">
                  <c:v>5.3666666666666663</c:v>
                </c:pt>
                <c:pt idx="162">
                  <c:v>5.4</c:v>
                </c:pt>
                <c:pt idx="163">
                  <c:v>5.4333333333333336</c:v>
                </c:pt>
                <c:pt idx="164">
                  <c:v>5.4666666666666668</c:v>
                </c:pt>
                <c:pt idx="165">
                  <c:v>5.5</c:v>
                </c:pt>
                <c:pt idx="166">
                  <c:v>5.5333333333333332</c:v>
                </c:pt>
                <c:pt idx="167">
                  <c:v>5.5666666666666664</c:v>
                </c:pt>
                <c:pt idx="168">
                  <c:v>5.6</c:v>
                </c:pt>
                <c:pt idx="169">
                  <c:v>5.6333333333333329</c:v>
                </c:pt>
                <c:pt idx="170">
                  <c:v>5.666666666666667</c:v>
                </c:pt>
                <c:pt idx="171">
                  <c:v>5.7</c:v>
                </c:pt>
                <c:pt idx="172">
                  <c:v>5.7333333333333334</c:v>
                </c:pt>
                <c:pt idx="173">
                  <c:v>5.7666666666666666</c:v>
                </c:pt>
                <c:pt idx="174">
                  <c:v>5.8</c:v>
                </c:pt>
                <c:pt idx="175">
                  <c:v>5.833333333333333</c:v>
                </c:pt>
                <c:pt idx="176">
                  <c:v>5.8666666666666663</c:v>
                </c:pt>
                <c:pt idx="177">
                  <c:v>5.9</c:v>
                </c:pt>
                <c:pt idx="178">
                  <c:v>5.9333333333333336</c:v>
                </c:pt>
                <c:pt idx="179">
                  <c:v>5.9666666666666668</c:v>
                </c:pt>
                <c:pt idx="180">
                  <c:v>6</c:v>
                </c:pt>
                <c:pt idx="181">
                  <c:v>6.0333333333333332</c:v>
                </c:pt>
                <c:pt idx="182">
                  <c:v>6.0666666666666664</c:v>
                </c:pt>
                <c:pt idx="183">
                  <c:v>6.1</c:v>
                </c:pt>
                <c:pt idx="184">
                  <c:v>6.1333333333333329</c:v>
                </c:pt>
                <c:pt idx="185">
                  <c:v>6.166666666666667</c:v>
                </c:pt>
                <c:pt idx="186">
                  <c:v>6.2</c:v>
                </c:pt>
                <c:pt idx="187">
                  <c:v>6.2333333333333334</c:v>
                </c:pt>
                <c:pt idx="188">
                  <c:v>6.2666666666666666</c:v>
                </c:pt>
                <c:pt idx="189">
                  <c:v>6.3</c:v>
                </c:pt>
                <c:pt idx="190">
                  <c:v>6.333333333333333</c:v>
                </c:pt>
                <c:pt idx="191">
                  <c:v>6.3666666666666663</c:v>
                </c:pt>
                <c:pt idx="192">
                  <c:v>6.4</c:v>
                </c:pt>
                <c:pt idx="193">
                  <c:v>6.4333333333333336</c:v>
                </c:pt>
                <c:pt idx="194">
                  <c:v>6.4666666666666668</c:v>
                </c:pt>
                <c:pt idx="195">
                  <c:v>6.5</c:v>
                </c:pt>
                <c:pt idx="196">
                  <c:v>6.5333333333333332</c:v>
                </c:pt>
                <c:pt idx="197">
                  <c:v>6.5666666666666664</c:v>
                </c:pt>
                <c:pt idx="198">
                  <c:v>6.6</c:v>
                </c:pt>
                <c:pt idx="199">
                  <c:v>6.6333333333333329</c:v>
                </c:pt>
                <c:pt idx="200">
                  <c:v>6.666666666666667</c:v>
                </c:pt>
                <c:pt idx="201">
                  <c:v>6.7</c:v>
                </c:pt>
                <c:pt idx="202">
                  <c:v>6.7333333333333334</c:v>
                </c:pt>
                <c:pt idx="203">
                  <c:v>6.7666666666666666</c:v>
                </c:pt>
                <c:pt idx="204">
                  <c:v>6.8</c:v>
                </c:pt>
                <c:pt idx="205">
                  <c:v>6.833333333333333</c:v>
                </c:pt>
                <c:pt idx="206">
                  <c:v>6.8666666666666663</c:v>
                </c:pt>
                <c:pt idx="207">
                  <c:v>6.8999999999999986</c:v>
                </c:pt>
                <c:pt idx="208">
                  <c:v>6.9333333333333336</c:v>
                </c:pt>
                <c:pt idx="209">
                  <c:v>6.9666666666666668</c:v>
                </c:pt>
                <c:pt idx="210">
                  <c:v>7</c:v>
                </c:pt>
                <c:pt idx="211">
                  <c:v>7.0333333333333332</c:v>
                </c:pt>
                <c:pt idx="212">
                  <c:v>7.0666666666666664</c:v>
                </c:pt>
                <c:pt idx="213">
                  <c:v>7.1</c:v>
                </c:pt>
                <c:pt idx="214">
                  <c:v>7.1333333333333329</c:v>
                </c:pt>
                <c:pt idx="215">
                  <c:v>7.166666666666667</c:v>
                </c:pt>
                <c:pt idx="216">
                  <c:v>7.2</c:v>
                </c:pt>
                <c:pt idx="217">
                  <c:v>7.2333333333333334</c:v>
                </c:pt>
                <c:pt idx="218">
                  <c:v>7.2666666666666666</c:v>
                </c:pt>
                <c:pt idx="219">
                  <c:v>7.3</c:v>
                </c:pt>
                <c:pt idx="220">
                  <c:v>7.333333333333333</c:v>
                </c:pt>
                <c:pt idx="221">
                  <c:v>7.3666666666666663</c:v>
                </c:pt>
                <c:pt idx="222">
                  <c:v>7.3999999999999986</c:v>
                </c:pt>
                <c:pt idx="223">
                  <c:v>7.4333333333333336</c:v>
                </c:pt>
                <c:pt idx="224">
                  <c:v>7.4666666666666668</c:v>
                </c:pt>
                <c:pt idx="225">
                  <c:v>7.5</c:v>
                </c:pt>
                <c:pt idx="226">
                  <c:v>7.5333333333333332</c:v>
                </c:pt>
                <c:pt idx="227">
                  <c:v>7.5666666666666664</c:v>
                </c:pt>
                <c:pt idx="228">
                  <c:v>7.6</c:v>
                </c:pt>
                <c:pt idx="229">
                  <c:v>7.6333333333333329</c:v>
                </c:pt>
                <c:pt idx="230">
                  <c:v>7.666666666666667</c:v>
                </c:pt>
                <c:pt idx="231">
                  <c:v>7.7</c:v>
                </c:pt>
                <c:pt idx="232">
                  <c:v>7.7333333333333334</c:v>
                </c:pt>
                <c:pt idx="233">
                  <c:v>7.7666666666666666</c:v>
                </c:pt>
                <c:pt idx="234">
                  <c:v>7.8</c:v>
                </c:pt>
                <c:pt idx="235">
                  <c:v>7.833333333333333</c:v>
                </c:pt>
                <c:pt idx="236">
                  <c:v>7.8666666666666663</c:v>
                </c:pt>
                <c:pt idx="237">
                  <c:v>7.8999999999999986</c:v>
                </c:pt>
                <c:pt idx="238">
                  <c:v>7.9333333333333336</c:v>
                </c:pt>
                <c:pt idx="239">
                  <c:v>7.9666666666666668</c:v>
                </c:pt>
                <c:pt idx="240">
                  <c:v>8</c:v>
                </c:pt>
                <c:pt idx="241">
                  <c:v>8.0333333333333332</c:v>
                </c:pt>
                <c:pt idx="242">
                  <c:v>8.0666666666666664</c:v>
                </c:pt>
                <c:pt idx="243">
                  <c:v>8.1</c:v>
                </c:pt>
                <c:pt idx="244">
                  <c:v>8.1333333333333329</c:v>
                </c:pt>
                <c:pt idx="245">
                  <c:v>8.1666666666666661</c:v>
                </c:pt>
                <c:pt idx="246">
                  <c:v>8.1999999999999993</c:v>
                </c:pt>
                <c:pt idx="247">
                  <c:v>8.2333333333333325</c:v>
                </c:pt>
                <c:pt idx="248">
                  <c:v>8.2666666666666657</c:v>
                </c:pt>
                <c:pt idx="249">
                  <c:v>8.3000000000000007</c:v>
                </c:pt>
                <c:pt idx="250">
                  <c:v>8.3333333333333339</c:v>
                </c:pt>
                <c:pt idx="251">
                  <c:v>8.3666666666666671</c:v>
                </c:pt>
                <c:pt idx="252">
                  <c:v>8.4</c:v>
                </c:pt>
                <c:pt idx="253">
                  <c:v>8.4333333333333336</c:v>
                </c:pt>
                <c:pt idx="254">
                  <c:v>8.4666666666666668</c:v>
                </c:pt>
                <c:pt idx="255">
                  <c:v>8.5</c:v>
                </c:pt>
                <c:pt idx="256">
                  <c:v>8.5333333333333332</c:v>
                </c:pt>
                <c:pt idx="257">
                  <c:v>8.5666666666666664</c:v>
                </c:pt>
                <c:pt idx="258">
                  <c:v>8.6</c:v>
                </c:pt>
                <c:pt idx="259">
                  <c:v>8.6333333333333329</c:v>
                </c:pt>
                <c:pt idx="260">
                  <c:v>8.6666666666666661</c:v>
                </c:pt>
                <c:pt idx="261">
                  <c:v>8.6999999999999993</c:v>
                </c:pt>
                <c:pt idx="262">
                  <c:v>8.7333333333333325</c:v>
                </c:pt>
                <c:pt idx="263">
                  <c:v>8.7666666666666657</c:v>
                </c:pt>
                <c:pt idx="264">
                  <c:v>8.8000000000000007</c:v>
                </c:pt>
                <c:pt idx="265">
                  <c:v>8.8333333333333339</c:v>
                </c:pt>
                <c:pt idx="266">
                  <c:v>8.8666666666666671</c:v>
                </c:pt>
                <c:pt idx="267">
                  <c:v>8.9</c:v>
                </c:pt>
                <c:pt idx="268">
                  <c:v>8.9333333333333336</c:v>
                </c:pt>
                <c:pt idx="269">
                  <c:v>8.9666666666666668</c:v>
                </c:pt>
                <c:pt idx="270">
                  <c:v>9</c:v>
                </c:pt>
                <c:pt idx="271">
                  <c:v>9.0333333333333332</c:v>
                </c:pt>
                <c:pt idx="272">
                  <c:v>9.0666666666666664</c:v>
                </c:pt>
                <c:pt idx="273">
                  <c:v>9.1</c:v>
                </c:pt>
                <c:pt idx="274">
                  <c:v>9.1333333333333329</c:v>
                </c:pt>
                <c:pt idx="275">
                  <c:v>9.1666666666666661</c:v>
                </c:pt>
                <c:pt idx="276">
                  <c:v>9.1999999999999993</c:v>
                </c:pt>
                <c:pt idx="277">
                  <c:v>9.2333333333333325</c:v>
                </c:pt>
                <c:pt idx="278">
                  <c:v>9.2666666666666657</c:v>
                </c:pt>
                <c:pt idx="279">
                  <c:v>9.3000000000000007</c:v>
                </c:pt>
                <c:pt idx="280">
                  <c:v>9.3333333333333339</c:v>
                </c:pt>
                <c:pt idx="281">
                  <c:v>9.3666666666666671</c:v>
                </c:pt>
                <c:pt idx="282">
                  <c:v>9.4</c:v>
                </c:pt>
                <c:pt idx="283">
                  <c:v>9.4333333333333336</c:v>
                </c:pt>
                <c:pt idx="284">
                  <c:v>9.4666666666666668</c:v>
                </c:pt>
                <c:pt idx="285">
                  <c:v>9.5</c:v>
                </c:pt>
                <c:pt idx="286">
                  <c:v>9.5333333333333332</c:v>
                </c:pt>
                <c:pt idx="287">
                  <c:v>9.5666666666666664</c:v>
                </c:pt>
                <c:pt idx="288">
                  <c:v>9.6</c:v>
                </c:pt>
                <c:pt idx="289">
                  <c:v>9.6333333333333329</c:v>
                </c:pt>
                <c:pt idx="290">
                  <c:v>9.6666666666666661</c:v>
                </c:pt>
                <c:pt idx="291">
                  <c:v>9.6999999999999993</c:v>
                </c:pt>
              </c:numCache>
            </c:numRef>
          </c:xVal>
          <c:yVal>
            <c:numRef>
              <c:f>'att6'!$C$2:$C$293</c:f>
              <c:numCache>
                <c:formatCode>General</c:formatCode>
                <c:ptCount val="292"/>
                <c:pt idx="0">
                  <c:v>108.5996225588224</c:v>
                </c:pt>
                <c:pt idx="1">
                  <c:v>110.370779827466</c:v>
                </c:pt>
                <c:pt idx="2">
                  <c:v>110.3670032340392</c:v>
                </c:pt>
                <c:pt idx="3">
                  <c:v>114.10460626775721</c:v>
                </c:pt>
                <c:pt idx="4">
                  <c:v>115.8808697198924</c:v>
                </c:pt>
                <c:pt idx="5">
                  <c:v>115.8776935120882</c:v>
                </c:pt>
                <c:pt idx="6">
                  <c:v>119.6023230723026</c:v>
                </c:pt>
                <c:pt idx="7">
                  <c:v>121.39596464319121</c:v>
                </c:pt>
                <c:pt idx="8">
                  <c:v>121.3642288728748</c:v>
                </c:pt>
                <c:pt idx="9">
                  <c:v>125.077299023809</c:v>
                </c:pt>
                <c:pt idx="10">
                  <c:v>126.83001559560689</c:v>
                </c:pt>
                <c:pt idx="11">
                  <c:v>126.8292239208119</c:v>
                </c:pt>
                <c:pt idx="12">
                  <c:v>130.57015892242521</c:v>
                </c:pt>
                <c:pt idx="13">
                  <c:v>132.32674466028419</c:v>
                </c:pt>
                <c:pt idx="14">
                  <c:v>132.32578107238211</c:v>
                </c:pt>
                <c:pt idx="15">
                  <c:v>135.9949184439935</c:v>
                </c:pt>
                <c:pt idx="16">
                  <c:v>137.76236518184939</c:v>
                </c:pt>
                <c:pt idx="17">
                  <c:v>137.76236518184939</c:v>
                </c:pt>
                <c:pt idx="18">
                  <c:v>141.30514347579501</c:v>
                </c:pt>
                <c:pt idx="19">
                  <c:v>142.98189524791161</c:v>
                </c:pt>
                <c:pt idx="20">
                  <c:v>142.9618496688511</c:v>
                </c:pt>
                <c:pt idx="21">
                  <c:v>146.36551239484879</c:v>
                </c:pt>
                <c:pt idx="22">
                  <c:v>148.1427178532318</c:v>
                </c:pt>
                <c:pt idx="23">
                  <c:v>148.1427178532318</c:v>
                </c:pt>
                <c:pt idx="24">
                  <c:v>151.69000037324591</c:v>
                </c:pt>
                <c:pt idx="25">
                  <c:v>153.37016202375111</c:v>
                </c:pt>
                <c:pt idx="26">
                  <c:v>153.36662349243551</c:v>
                </c:pt>
                <c:pt idx="27">
                  <c:v>156.90162806759571</c:v>
                </c:pt>
                <c:pt idx="28">
                  <c:v>158.66540999323351</c:v>
                </c:pt>
                <c:pt idx="29">
                  <c:v>158.65857772461439</c:v>
                </c:pt>
                <c:pt idx="30">
                  <c:v>162.0836712798444</c:v>
                </c:pt>
                <c:pt idx="31">
                  <c:v>163.95478117796171</c:v>
                </c:pt>
                <c:pt idx="32">
                  <c:v>163.95166299654201</c:v>
                </c:pt>
                <c:pt idx="33">
                  <c:v>167.35502064166451</c:v>
                </c:pt>
                <c:pt idx="34">
                  <c:v>169.16947251758151</c:v>
                </c:pt>
                <c:pt idx="35">
                  <c:v>169.16947251758151</c:v>
                </c:pt>
                <c:pt idx="36">
                  <c:v>172.75120492653721</c:v>
                </c:pt>
                <c:pt idx="37">
                  <c:v>174.39851746638519</c:v>
                </c:pt>
                <c:pt idx="38">
                  <c:v>174.39539468074969</c:v>
                </c:pt>
                <c:pt idx="39">
                  <c:v>177.96877973818701</c:v>
                </c:pt>
                <c:pt idx="40">
                  <c:v>179.96370405013809</c:v>
                </c:pt>
                <c:pt idx="41">
                  <c:v>179.9677091657822</c:v>
                </c:pt>
                <c:pt idx="42">
                  <c:v>-176.59012157599119</c:v>
                </c:pt>
                <c:pt idx="43">
                  <c:v>-174.9971781841698</c:v>
                </c:pt>
                <c:pt idx="44">
                  <c:v>-175.01491438431131</c:v>
                </c:pt>
                <c:pt idx="45">
                  <c:v>-171.38945231969191</c:v>
                </c:pt>
                <c:pt idx="46">
                  <c:v>-169.44311436991549</c:v>
                </c:pt>
                <c:pt idx="47">
                  <c:v>-169.46195517190819</c:v>
                </c:pt>
                <c:pt idx="48">
                  <c:v>-165.83046514668851</c:v>
                </c:pt>
                <c:pt idx="49">
                  <c:v>-164.15702350174959</c:v>
                </c:pt>
                <c:pt idx="50">
                  <c:v>-164.15071233420659</c:v>
                </c:pt>
                <c:pt idx="51">
                  <c:v>-160.43849025250989</c:v>
                </c:pt>
                <c:pt idx="52">
                  <c:v>-158.61562048504169</c:v>
                </c:pt>
                <c:pt idx="53">
                  <c:v>-158.6100067775634</c:v>
                </c:pt>
                <c:pt idx="54">
                  <c:v>-154.99204307070499</c:v>
                </c:pt>
                <c:pt idx="55">
                  <c:v>-153.1700233139201</c:v>
                </c:pt>
                <c:pt idx="56">
                  <c:v>-153.1816036373491</c:v>
                </c:pt>
                <c:pt idx="57">
                  <c:v>-149.39815986134599</c:v>
                </c:pt>
                <c:pt idx="58">
                  <c:v>-147.54430216865561</c:v>
                </c:pt>
                <c:pt idx="59">
                  <c:v>-147.54430216865561</c:v>
                </c:pt>
                <c:pt idx="60">
                  <c:v>-143.8705785377669</c:v>
                </c:pt>
                <c:pt idx="61">
                  <c:v>-141.90727551714841</c:v>
                </c:pt>
                <c:pt idx="62">
                  <c:v>-141.89871975749369</c:v>
                </c:pt>
                <c:pt idx="63">
                  <c:v>-138.1024306545122</c:v>
                </c:pt>
                <c:pt idx="64">
                  <c:v>-136.2155104157265</c:v>
                </c:pt>
                <c:pt idx="65">
                  <c:v>-136.23430755952691</c:v>
                </c:pt>
                <c:pt idx="66">
                  <c:v>-132.2089209642258</c:v>
                </c:pt>
                <c:pt idx="67">
                  <c:v>-130.3015588512724</c:v>
                </c:pt>
                <c:pt idx="68">
                  <c:v>-130.31609968386289</c:v>
                </c:pt>
                <c:pt idx="69">
                  <c:v>-126.0647746000467</c:v>
                </c:pt>
                <c:pt idx="70">
                  <c:v>-124.19446775444599</c:v>
                </c:pt>
                <c:pt idx="71">
                  <c:v>-124.174165888551</c:v>
                </c:pt>
                <c:pt idx="72">
                  <c:v>-120.2326114223614</c:v>
                </c:pt>
                <c:pt idx="73">
                  <c:v>-118.4244872213597</c:v>
                </c:pt>
                <c:pt idx="74">
                  <c:v>-118.4244872213597</c:v>
                </c:pt>
                <c:pt idx="75">
                  <c:v>-114.1294676337921</c:v>
                </c:pt>
                <c:pt idx="76">
                  <c:v>-111.487537324651</c:v>
                </c:pt>
                <c:pt idx="77">
                  <c:v>-111.5656849962533</c:v>
                </c:pt>
                <c:pt idx="78">
                  <c:v>-105.76410632979891</c:v>
                </c:pt>
                <c:pt idx="79">
                  <c:v>-103.5034099160156</c:v>
                </c:pt>
                <c:pt idx="80">
                  <c:v>-103.3011533576622</c:v>
                </c:pt>
                <c:pt idx="81">
                  <c:v>-96.097687983871239</c:v>
                </c:pt>
                <c:pt idx="82">
                  <c:v>-88.589886642713765</c:v>
                </c:pt>
                <c:pt idx="83">
                  <c:v>-89.016140032797097</c:v>
                </c:pt>
                <c:pt idx="105">
                  <c:v>-116.6504311860747</c:v>
                </c:pt>
                <c:pt idx="108">
                  <c:v>-71.477923711993398</c:v>
                </c:pt>
                <c:pt idx="109">
                  <c:v>-63.703648630856449</c:v>
                </c:pt>
                <c:pt idx="110">
                  <c:v>-61.310147181525132</c:v>
                </c:pt>
                <c:pt idx="111">
                  <c:v>-52.770337078566307</c:v>
                </c:pt>
                <c:pt idx="112">
                  <c:v>-44.677521870286178</c:v>
                </c:pt>
                <c:pt idx="113">
                  <c:v>-44.607673797656261</c:v>
                </c:pt>
                <c:pt idx="114">
                  <c:v>-41.737095513242863</c:v>
                </c:pt>
                <c:pt idx="115">
                  <c:v>-51.093615132650733</c:v>
                </c:pt>
                <c:pt idx="116">
                  <c:v>-51.049823235627002</c:v>
                </c:pt>
                <c:pt idx="117">
                  <c:v>-32.603940503569127</c:v>
                </c:pt>
                <c:pt idx="118">
                  <c:v>-29.138682297130931</c:v>
                </c:pt>
                <c:pt idx="119">
                  <c:v>-29.138682297130931</c:v>
                </c:pt>
                <c:pt idx="120">
                  <c:v>-24.759619299732481</c:v>
                </c:pt>
                <c:pt idx="121">
                  <c:v>-23.318338956230519</c:v>
                </c:pt>
                <c:pt idx="122">
                  <c:v>-23.331151473470189</c:v>
                </c:pt>
                <c:pt idx="123">
                  <c:v>-18.821590287043051</c:v>
                </c:pt>
                <c:pt idx="124">
                  <c:v>-16.749204708323688</c:v>
                </c:pt>
                <c:pt idx="125">
                  <c:v>-16.749204708323688</c:v>
                </c:pt>
                <c:pt idx="126">
                  <c:v>-12.97803410497589</c:v>
                </c:pt>
                <c:pt idx="127">
                  <c:v>-10.63576215448693</c:v>
                </c:pt>
                <c:pt idx="128">
                  <c:v>-10.65635241965755</c:v>
                </c:pt>
                <c:pt idx="129">
                  <c:v>-7.22090018289878</c:v>
                </c:pt>
                <c:pt idx="130">
                  <c:v>-5.013946937082971</c:v>
                </c:pt>
                <c:pt idx="131">
                  <c:v>-5.0102325840169941</c:v>
                </c:pt>
                <c:pt idx="132">
                  <c:v>-1.007542378746872</c:v>
                </c:pt>
                <c:pt idx="133">
                  <c:v>1.1466424860115949</c:v>
                </c:pt>
                <c:pt idx="134">
                  <c:v>1.110348442731278</c:v>
                </c:pt>
                <c:pt idx="135">
                  <c:v>5.0770003393970127</c:v>
                </c:pt>
                <c:pt idx="136">
                  <c:v>6.6500817372770351</c:v>
                </c:pt>
                <c:pt idx="137">
                  <c:v>6.6505493653577963</c:v>
                </c:pt>
                <c:pt idx="138">
                  <c:v>10.73418069986484</c:v>
                </c:pt>
                <c:pt idx="139">
                  <c:v>12.559717186852509</c:v>
                </c:pt>
                <c:pt idx="140">
                  <c:v>12.585054968126389</c:v>
                </c:pt>
                <c:pt idx="141">
                  <c:v>16.51707554979906</c:v>
                </c:pt>
                <c:pt idx="142">
                  <c:v>18.430257748194919</c:v>
                </c:pt>
                <c:pt idx="143">
                  <c:v>18.418154739544761</c:v>
                </c:pt>
                <c:pt idx="144">
                  <c:v>22.28178202087566</c:v>
                </c:pt>
                <c:pt idx="145">
                  <c:v>24.128721314988859</c:v>
                </c:pt>
                <c:pt idx="146">
                  <c:v>24.12145525095449</c:v>
                </c:pt>
                <c:pt idx="147">
                  <c:v>27.926854628788149</c:v>
                </c:pt>
                <c:pt idx="148">
                  <c:v>29.840549760447711</c:v>
                </c:pt>
                <c:pt idx="149">
                  <c:v>29.847750127922961</c:v>
                </c:pt>
                <c:pt idx="150">
                  <c:v>33.592188470846622</c:v>
                </c:pt>
                <c:pt idx="151">
                  <c:v>35.513963164309978</c:v>
                </c:pt>
                <c:pt idx="152">
                  <c:v>35.506662383596563</c:v>
                </c:pt>
                <c:pt idx="153">
                  <c:v>39.251382221467473</c:v>
                </c:pt>
                <c:pt idx="154">
                  <c:v>41.070351158840552</c:v>
                </c:pt>
                <c:pt idx="155">
                  <c:v>41.044748957550077</c:v>
                </c:pt>
                <c:pt idx="156">
                  <c:v>44.831733033755157</c:v>
                </c:pt>
                <c:pt idx="157">
                  <c:v>46.662190309699447</c:v>
                </c:pt>
                <c:pt idx="158">
                  <c:v>46.686616829042222</c:v>
                </c:pt>
                <c:pt idx="159">
                  <c:v>50.343335215679687</c:v>
                </c:pt>
                <c:pt idx="160">
                  <c:v>52.203122445843007</c:v>
                </c:pt>
                <c:pt idx="161">
                  <c:v>52.197571418893837</c:v>
                </c:pt>
                <c:pt idx="162">
                  <c:v>56.009858148016647</c:v>
                </c:pt>
                <c:pt idx="163">
                  <c:v>57.844196574884357</c:v>
                </c:pt>
                <c:pt idx="164">
                  <c:v>57.836052856184622</c:v>
                </c:pt>
                <c:pt idx="165">
                  <c:v>61.594717666948917</c:v>
                </c:pt>
                <c:pt idx="166">
                  <c:v>63.413045404867468</c:v>
                </c:pt>
                <c:pt idx="167">
                  <c:v>63.41277148858606</c:v>
                </c:pt>
                <c:pt idx="168">
                  <c:v>67.084531211283405</c:v>
                </c:pt>
                <c:pt idx="169">
                  <c:v>63.092472363735787</c:v>
                </c:pt>
                <c:pt idx="170">
                  <c:v>63.262980492700322</c:v>
                </c:pt>
                <c:pt idx="171">
                  <c:v>70.949541747764869</c:v>
                </c:pt>
                <c:pt idx="172">
                  <c:v>74.521918035979951</c:v>
                </c:pt>
                <c:pt idx="173">
                  <c:v>74.529873727289981</c:v>
                </c:pt>
                <c:pt idx="174">
                  <c:v>78.19475576097345</c:v>
                </c:pt>
                <c:pt idx="175">
                  <c:v>80.044207245827565</c:v>
                </c:pt>
                <c:pt idx="176">
                  <c:v>80.05283632316268</c:v>
                </c:pt>
                <c:pt idx="177">
                  <c:v>83.710171925153816</c:v>
                </c:pt>
                <c:pt idx="178">
                  <c:v>85.548073265040927</c:v>
                </c:pt>
                <c:pt idx="179">
                  <c:v>85.548073265040927</c:v>
                </c:pt>
                <c:pt idx="180">
                  <c:v>89.276967837872263</c:v>
                </c:pt>
                <c:pt idx="181">
                  <c:v>90.831892574200339</c:v>
                </c:pt>
                <c:pt idx="182">
                  <c:v>90.831892574200339</c:v>
                </c:pt>
                <c:pt idx="183">
                  <c:v>94.632851961794188</c:v>
                </c:pt>
                <c:pt idx="184">
                  <c:v>96.526966395934153</c:v>
                </c:pt>
                <c:pt idx="185">
                  <c:v>96.526966395934153</c:v>
                </c:pt>
                <c:pt idx="186">
                  <c:v>100.1531307886892</c:v>
                </c:pt>
                <c:pt idx="187">
                  <c:v>101.92216716548209</c:v>
                </c:pt>
                <c:pt idx="188">
                  <c:v>101.9224252384477</c:v>
                </c:pt>
                <c:pt idx="189">
                  <c:v>105.5592864887488</c:v>
                </c:pt>
                <c:pt idx="190">
                  <c:v>107.38042660987951</c:v>
                </c:pt>
                <c:pt idx="191">
                  <c:v>107.3811425657581</c:v>
                </c:pt>
                <c:pt idx="192">
                  <c:v>111.04333396066809</c:v>
                </c:pt>
                <c:pt idx="193">
                  <c:v>112.8710692703457</c:v>
                </c:pt>
                <c:pt idx="194">
                  <c:v>112.8759520951868</c:v>
                </c:pt>
                <c:pt idx="195">
                  <c:v>116.5179110750519</c:v>
                </c:pt>
                <c:pt idx="196">
                  <c:v>118.37425952196639</c:v>
                </c:pt>
                <c:pt idx="197">
                  <c:v>118.3786480181641</c:v>
                </c:pt>
                <c:pt idx="198">
                  <c:v>122.0657982406458</c:v>
                </c:pt>
                <c:pt idx="199">
                  <c:v>123.87371777314461</c:v>
                </c:pt>
                <c:pt idx="200">
                  <c:v>123.8712327876783</c:v>
                </c:pt>
                <c:pt idx="201">
                  <c:v>127.5229093333607</c:v>
                </c:pt>
                <c:pt idx="202">
                  <c:v>129.34970897506511</c:v>
                </c:pt>
                <c:pt idx="203">
                  <c:v>129.3522711914496</c:v>
                </c:pt>
                <c:pt idx="204">
                  <c:v>132.92567476694211</c:v>
                </c:pt>
                <c:pt idx="205">
                  <c:v>134.69918757257369</c:v>
                </c:pt>
                <c:pt idx="206">
                  <c:v>134.69481268575069</c:v>
                </c:pt>
                <c:pt idx="207">
                  <c:v>138.40018278402351</c:v>
                </c:pt>
                <c:pt idx="208">
                  <c:v>140.1252294454589</c:v>
                </c:pt>
                <c:pt idx="209">
                  <c:v>140.15022416940261</c:v>
                </c:pt>
                <c:pt idx="210">
                  <c:v>143.56501296121601</c:v>
                </c:pt>
                <c:pt idx="211">
                  <c:v>145.2928883529087</c:v>
                </c:pt>
                <c:pt idx="212">
                  <c:v>145.2928883529087</c:v>
                </c:pt>
                <c:pt idx="213">
                  <c:v>148.77414940593491</c:v>
                </c:pt>
                <c:pt idx="214">
                  <c:v>150.57925483896301</c:v>
                </c:pt>
                <c:pt idx="215">
                  <c:v>150.58020764903179</c:v>
                </c:pt>
                <c:pt idx="216">
                  <c:v>154.05941443697139</c:v>
                </c:pt>
                <c:pt idx="217">
                  <c:v>155.7966954036508</c:v>
                </c:pt>
                <c:pt idx="218">
                  <c:v>155.7941994684634</c:v>
                </c:pt>
                <c:pt idx="219">
                  <c:v>159.28688279190229</c:v>
                </c:pt>
                <c:pt idx="220">
                  <c:v>161.05571964021161</c:v>
                </c:pt>
                <c:pt idx="221">
                  <c:v>161.02184984682751</c:v>
                </c:pt>
                <c:pt idx="222">
                  <c:v>164.55324941781501</c:v>
                </c:pt>
                <c:pt idx="223">
                  <c:v>166.24525512578529</c:v>
                </c:pt>
                <c:pt idx="224">
                  <c:v>166.2883086427839</c:v>
                </c:pt>
                <c:pt idx="225">
                  <c:v>169.78376784347111</c:v>
                </c:pt>
                <c:pt idx="226">
                  <c:v>171.53060592651079</c:v>
                </c:pt>
                <c:pt idx="227">
                  <c:v>171.53766462774749</c:v>
                </c:pt>
                <c:pt idx="228">
                  <c:v>175.1144279733322</c:v>
                </c:pt>
                <c:pt idx="229">
                  <c:v>176.79645294566521</c:v>
                </c:pt>
                <c:pt idx="230">
                  <c:v>176.8154937710845</c:v>
                </c:pt>
                <c:pt idx="231">
                  <c:v>-179.48660508692711</c:v>
                </c:pt>
                <c:pt idx="232">
                  <c:v>-177.7876283376529</c:v>
                </c:pt>
                <c:pt idx="233">
                  <c:v>-177.80010020755219</c:v>
                </c:pt>
                <c:pt idx="234">
                  <c:v>-174.27682290063959</c:v>
                </c:pt>
                <c:pt idx="235">
                  <c:v>-172.48442709981299</c:v>
                </c:pt>
                <c:pt idx="236">
                  <c:v>-172.43007443308849</c:v>
                </c:pt>
                <c:pt idx="237">
                  <c:v>-168.9085647870773</c:v>
                </c:pt>
                <c:pt idx="238">
                  <c:v>-167.1906305188771</c:v>
                </c:pt>
                <c:pt idx="239">
                  <c:v>-167.1906305188771</c:v>
                </c:pt>
                <c:pt idx="240">
                  <c:v>-163.59694617656859</c:v>
                </c:pt>
                <c:pt idx="241">
                  <c:v>-161.72450580511821</c:v>
                </c:pt>
                <c:pt idx="242">
                  <c:v>-161.73128505218801</c:v>
                </c:pt>
                <c:pt idx="243">
                  <c:v>-158.07411204849021</c:v>
                </c:pt>
                <c:pt idx="244">
                  <c:v>-156.2079232431937</c:v>
                </c:pt>
                <c:pt idx="245">
                  <c:v>-156.22622228827879</c:v>
                </c:pt>
                <c:pt idx="246">
                  <c:v>-152.49736907766831</c:v>
                </c:pt>
                <c:pt idx="247">
                  <c:v>-150.6982448195678</c:v>
                </c:pt>
                <c:pt idx="248">
                  <c:v>-150.6876210310777</c:v>
                </c:pt>
                <c:pt idx="249">
                  <c:v>-146.94603993331839</c:v>
                </c:pt>
                <c:pt idx="250">
                  <c:v>-145.08624588989079</c:v>
                </c:pt>
                <c:pt idx="251">
                  <c:v>-145.1232678923698</c:v>
                </c:pt>
                <c:pt idx="252">
                  <c:v>-141.48217528860849</c:v>
                </c:pt>
                <c:pt idx="253">
                  <c:v>-139.45627334822859</c:v>
                </c:pt>
                <c:pt idx="254">
                  <c:v>-139.45850988845891</c:v>
                </c:pt>
                <c:pt idx="255">
                  <c:v>-135.63427968315889</c:v>
                </c:pt>
                <c:pt idx="256">
                  <c:v>-133.70013268864679</c:v>
                </c:pt>
                <c:pt idx="257">
                  <c:v>-133.7391093974453</c:v>
                </c:pt>
                <c:pt idx="258">
                  <c:v>-129.51334143412791</c:v>
                </c:pt>
                <c:pt idx="259">
                  <c:v>-127.6665194850784</c:v>
                </c:pt>
                <c:pt idx="260">
                  <c:v>-127.6609976024618</c:v>
                </c:pt>
                <c:pt idx="261">
                  <c:v>-123.81769394875469</c:v>
                </c:pt>
                <c:pt idx="262">
                  <c:v>-121.6815944916717</c:v>
                </c:pt>
                <c:pt idx="263">
                  <c:v>-121.64362572105421</c:v>
                </c:pt>
                <c:pt idx="264">
                  <c:v>-117.81194705310661</c:v>
                </c:pt>
                <c:pt idx="265">
                  <c:v>-115.6347116183659</c:v>
                </c:pt>
                <c:pt idx="266">
                  <c:v>-115.7621717711725</c:v>
                </c:pt>
                <c:pt idx="267">
                  <c:v>-111.24036958623969</c:v>
                </c:pt>
                <c:pt idx="268">
                  <c:v>-108.6239793315257</c:v>
                </c:pt>
                <c:pt idx="269">
                  <c:v>-108.6051875859347</c:v>
                </c:pt>
                <c:pt idx="270">
                  <c:v>-102.6375602102441</c:v>
                </c:pt>
                <c:pt idx="271">
                  <c:v>-99.146557260799227</c:v>
                </c:pt>
                <c:pt idx="272">
                  <c:v>-99.211855576645192</c:v>
                </c:pt>
                <c:pt idx="273">
                  <c:v>-89.258336311705023</c:v>
                </c:pt>
                <c:pt idx="274">
                  <c:v>-67.275426696850673</c:v>
                </c:pt>
                <c:pt idx="275">
                  <c:v>-67.14141169468455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B3-4944-8223-6B3916A3D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736096"/>
        <c:axId val="1901738016"/>
      </c:scatterChart>
      <c:valAx>
        <c:axId val="190173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01738016"/>
        <c:crosses val="autoZero"/>
        <c:crossBetween val="midCat"/>
      </c:valAx>
      <c:valAx>
        <c:axId val="190173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901736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'att7'!$D$1</c:f>
              <c:strCache>
                <c:ptCount val="1"/>
                <c:pt idx="0">
                  <c:v>roll_360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8002504264549523E-2"/>
                  <c:y val="0.142805967873298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</c:trendlineLbl>
          </c:trendline>
          <c:xVal>
            <c:numRef>
              <c:f>'att7'!$A$2:$A$143</c:f>
              <c:numCache>
                <c:formatCode>General</c:formatCode>
                <c:ptCount val="142"/>
                <c:pt idx="0">
                  <c:v>0</c:v>
                </c:pt>
                <c:pt idx="1">
                  <c:v>3.3333333333333333E-2</c:v>
                </c:pt>
                <c:pt idx="2">
                  <c:v>6.6666666666666666E-2</c:v>
                </c:pt>
                <c:pt idx="3">
                  <c:v>0.1</c:v>
                </c:pt>
                <c:pt idx="4">
                  <c:v>0.1333333333333333</c:v>
                </c:pt>
                <c:pt idx="5">
                  <c:v>0.16666666666666671</c:v>
                </c:pt>
                <c:pt idx="6">
                  <c:v>0.2</c:v>
                </c:pt>
                <c:pt idx="7">
                  <c:v>0.23333333333333331</c:v>
                </c:pt>
                <c:pt idx="8">
                  <c:v>0.26666666666666672</c:v>
                </c:pt>
                <c:pt idx="9">
                  <c:v>0.3</c:v>
                </c:pt>
                <c:pt idx="10">
                  <c:v>0.33333333333333331</c:v>
                </c:pt>
                <c:pt idx="11">
                  <c:v>0.36666666666666659</c:v>
                </c:pt>
                <c:pt idx="12">
                  <c:v>0.4</c:v>
                </c:pt>
                <c:pt idx="13">
                  <c:v>0.43333333333333329</c:v>
                </c:pt>
                <c:pt idx="14">
                  <c:v>0.46666666666666667</c:v>
                </c:pt>
                <c:pt idx="15">
                  <c:v>0.5</c:v>
                </c:pt>
                <c:pt idx="16">
                  <c:v>0.53333333333333333</c:v>
                </c:pt>
                <c:pt idx="17">
                  <c:v>0.56666666666666665</c:v>
                </c:pt>
                <c:pt idx="18">
                  <c:v>0.6</c:v>
                </c:pt>
                <c:pt idx="19">
                  <c:v>0.6333333333333333</c:v>
                </c:pt>
                <c:pt idx="20">
                  <c:v>0.66666666666666663</c:v>
                </c:pt>
                <c:pt idx="21">
                  <c:v>0.7</c:v>
                </c:pt>
                <c:pt idx="22">
                  <c:v>0.73333333333333328</c:v>
                </c:pt>
                <c:pt idx="23">
                  <c:v>0.76666666666666661</c:v>
                </c:pt>
                <c:pt idx="24">
                  <c:v>0.8</c:v>
                </c:pt>
                <c:pt idx="25">
                  <c:v>0.83333333333333337</c:v>
                </c:pt>
                <c:pt idx="26">
                  <c:v>0.8666666666666667</c:v>
                </c:pt>
                <c:pt idx="27">
                  <c:v>0.9</c:v>
                </c:pt>
                <c:pt idx="28">
                  <c:v>0.93333333333333335</c:v>
                </c:pt>
                <c:pt idx="29">
                  <c:v>0.96666666666666667</c:v>
                </c:pt>
                <c:pt idx="30">
                  <c:v>1</c:v>
                </c:pt>
                <c:pt idx="31">
                  <c:v>1.033333333333333</c:v>
                </c:pt>
                <c:pt idx="32">
                  <c:v>1.0666666666666671</c:v>
                </c:pt>
                <c:pt idx="33">
                  <c:v>1.1000000000000001</c:v>
                </c:pt>
                <c:pt idx="34">
                  <c:v>1.1333333333333331</c:v>
                </c:pt>
                <c:pt idx="35">
                  <c:v>1.166666666666667</c:v>
                </c:pt>
                <c:pt idx="36">
                  <c:v>1.2</c:v>
                </c:pt>
                <c:pt idx="37">
                  <c:v>1.2333333333333329</c:v>
                </c:pt>
                <c:pt idx="38">
                  <c:v>1.2666666666666671</c:v>
                </c:pt>
                <c:pt idx="39">
                  <c:v>1.3</c:v>
                </c:pt>
                <c:pt idx="40">
                  <c:v>1.333333333333333</c:v>
                </c:pt>
                <c:pt idx="41">
                  <c:v>1.3666666666666669</c:v>
                </c:pt>
                <c:pt idx="42">
                  <c:v>1.4</c:v>
                </c:pt>
                <c:pt idx="43">
                  <c:v>1.4333333333333329</c:v>
                </c:pt>
                <c:pt idx="44">
                  <c:v>1.466666666666667</c:v>
                </c:pt>
                <c:pt idx="45">
                  <c:v>1.5</c:v>
                </c:pt>
                <c:pt idx="46">
                  <c:v>1.533333333333333</c:v>
                </c:pt>
                <c:pt idx="47">
                  <c:v>1.5666666666666671</c:v>
                </c:pt>
                <c:pt idx="48">
                  <c:v>1.6</c:v>
                </c:pt>
                <c:pt idx="49">
                  <c:v>1.6333333333333331</c:v>
                </c:pt>
                <c:pt idx="50">
                  <c:v>1.666666666666667</c:v>
                </c:pt>
                <c:pt idx="51">
                  <c:v>1.7</c:v>
                </c:pt>
                <c:pt idx="52">
                  <c:v>1.7333333333333329</c:v>
                </c:pt>
                <c:pt idx="53">
                  <c:v>1.7666666666666671</c:v>
                </c:pt>
                <c:pt idx="54">
                  <c:v>1.8</c:v>
                </c:pt>
                <c:pt idx="55">
                  <c:v>1.833333333333333</c:v>
                </c:pt>
                <c:pt idx="56">
                  <c:v>1.8666666666666669</c:v>
                </c:pt>
                <c:pt idx="57">
                  <c:v>1.9</c:v>
                </c:pt>
                <c:pt idx="58">
                  <c:v>1.9333333333333329</c:v>
                </c:pt>
                <c:pt idx="59">
                  <c:v>1.966666666666667</c:v>
                </c:pt>
                <c:pt idx="60">
                  <c:v>2</c:v>
                </c:pt>
                <c:pt idx="61">
                  <c:v>2.0333333333333332</c:v>
                </c:pt>
                <c:pt idx="62">
                  <c:v>2.066666666666666</c:v>
                </c:pt>
                <c:pt idx="63">
                  <c:v>2.1</c:v>
                </c:pt>
                <c:pt idx="64">
                  <c:v>2.1333333333333329</c:v>
                </c:pt>
                <c:pt idx="65">
                  <c:v>2.166666666666667</c:v>
                </c:pt>
                <c:pt idx="66">
                  <c:v>2.2000000000000002</c:v>
                </c:pt>
                <c:pt idx="67">
                  <c:v>2.2333333333333329</c:v>
                </c:pt>
                <c:pt idx="68">
                  <c:v>2.2666666666666671</c:v>
                </c:pt>
                <c:pt idx="69">
                  <c:v>2.2999999999999998</c:v>
                </c:pt>
                <c:pt idx="70">
                  <c:v>2.333333333333333</c:v>
                </c:pt>
                <c:pt idx="71">
                  <c:v>2.3666666666666671</c:v>
                </c:pt>
                <c:pt idx="72">
                  <c:v>2.4</c:v>
                </c:pt>
                <c:pt idx="73">
                  <c:v>2.4333333333333331</c:v>
                </c:pt>
                <c:pt idx="74">
                  <c:v>2.4666666666666668</c:v>
                </c:pt>
                <c:pt idx="75">
                  <c:v>2.5</c:v>
                </c:pt>
                <c:pt idx="76">
                  <c:v>2.5333333333333332</c:v>
                </c:pt>
                <c:pt idx="77">
                  <c:v>2.566666666666666</c:v>
                </c:pt>
                <c:pt idx="78">
                  <c:v>2.6</c:v>
                </c:pt>
                <c:pt idx="79">
                  <c:v>2.6333333333333329</c:v>
                </c:pt>
                <c:pt idx="80">
                  <c:v>2.666666666666667</c:v>
                </c:pt>
                <c:pt idx="81">
                  <c:v>2.7</c:v>
                </c:pt>
                <c:pt idx="82">
                  <c:v>2.7333333333333329</c:v>
                </c:pt>
                <c:pt idx="83">
                  <c:v>2.7666666666666671</c:v>
                </c:pt>
                <c:pt idx="84">
                  <c:v>2.8</c:v>
                </c:pt>
                <c:pt idx="85">
                  <c:v>2.833333333333333</c:v>
                </c:pt>
                <c:pt idx="86">
                  <c:v>2.8666666666666671</c:v>
                </c:pt>
                <c:pt idx="87">
                  <c:v>2.9</c:v>
                </c:pt>
                <c:pt idx="88">
                  <c:v>2.9333333333333331</c:v>
                </c:pt>
                <c:pt idx="89">
                  <c:v>2.9666666666666668</c:v>
                </c:pt>
                <c:pt idx="90">
                  <c:v>3</c:v>
                </c:pt>
                <c:pt idx="91">
                  <c:v>3.0333333333333332</c:v>
                </c:pt>
                <c:pt idx="92">
                  <c:v>3.066666666666666</c:v>
                </c:pt>
                <c:pt idx="93">
                  <c:v>3.1</c:v>
                </c:pt>
                <c:pt idx="94">
                  <c:v>3.1333333333333329</c:v>
                </c:pt>
                <c:pt idx="95">
                  <c:v>3.166666666666667</c:v>
                </c:pt>
                <c:pt idx="96">
                  <c:v>3.2</c:v>
                </c:pt>
                <c:pt idx="97">
                  <c:v>3.2333333333333329</c:v>
                </c:pt>
                <c:pt idx="98">
                  <c:v>3.2666666666666671</c:v>
                </c:pt>
                <c:pt idx="99">
                  <c:v>3.3</c:v>
                </c:pt>
                <c:pt idx="100">
                  <c:v>3.333333333333333</c:v>
                </c:pt>
                <c:pt idx="101">
                  <c:v>3.3666666666666671</c:v>
                </c:pt>
                <c:pt idx="102">
                  <c:v>3.4</c:v>
                </c:pt>
                <c:pt idx="103">
                  <c:v>3.4333333333333331</c:v>
                </c:pt>
                <c:pt idx="104">
                  <c:v>3.4666666666666668</c:v>
                </c:pt>
                <c:pt idx="105">
                  <c:v>3.5</c:v>
                </c:pt>
                <c:pt idx="106">
                  <c:v>3.5333333333333332</c:v>
                </c:pt>
                <c:pt idx="107">
                  <c:v>3.566666666666666</c:v>
                </c:pt>
                <c:pt idx="108">
                  <c:v>3.6</c:v>
                </c:pt>
                <c:pt idx="109">
                  <c:v>3.6333333333333329</c:v>
                </c:pt>
                <c:pt idx="110">
                  <c:v>3.666666666666667</c:v>
                </c:pt>
                <c:pt idx="111">
                  <c:v>3.7</c:v>
                </c:pt>
                <c:pt idx="112">
                  <c:v>3.7333333333333329</c:v>
                </c:pt>
                <c:pt idx="113">
                  <c:v>3.7666666666666671</c:v>
                </c:pt>
                <c:pt idx="114">
                  <c:v>3.8</c:v>
                </c:pt>
                <c:pt idx="115">
                  <c:v>3.833333333333333</c:v>
                </c:pt>
                <c:pt idx="116">
                  <c:v>3.8666666666666671</c:v>
                </c:pt>
                <c:pt idx="117">
                  <c:v>3.9</c:v>
                </c:pt>
                <c:pt idx="118">
                  <c:v>3.9333333333333331</c:v>
                </c:pt>
                <c:pt idx="119">
                  <c:v>3.9666666666666668</c:v>
                </c:pt>
                <c:pt idx="120">
                  <c:v>4</c:v>
                </c:pt>
                <c:pt idx="121">
                  <c:v>4.0333333333333332</c:v>
                </c:pt>
                <c:pt idx="122">
                  <c:v>4.0666666666666664</c:v>
                </c:pt>
                <c:pt idx="123">
                  <c:v>4.0999999999999996</c:v>
                </c:pt>
                <c:pt idx="124">
                  <c:v>4.1333333333333329</c:v>
                </c:pt>
                <c:pt idx="125">
                  <c:v>4.166666666666667</c:v>
                </c:pt>
                <c:pt idx="126">
                  <c:v>4.2</c:v>
                </c:pt>
                <c:pt idx="127">
                  <c:v>4.2333333333333334</c:v>
                </c:pt>
                <c:pt idx="128">
                  <c:v>4.2666666666666666</c:v>
                </c:pt>
                <c:pt idx="129">
                  <c:v>4.3</c:v>
                </c:pt>
                <c:pt idx="130">
                  <c:v>4.333333333333333</c:v>
                </c:pt>
                <c:pt idx="131">
                  <c:v>4.3666666666666663</c:v>
                </c:pt>
                <c:pt idx="132">
                  <c:v>4.4000000000000004</c:v>
                </c:pt>
                <c:pt idx="133">
                  <c:v>4.4333333333333336</c:v>
                </c:pt>
                <c:pt idx="134">
                  <c:v>4.4666666666666668</c:v>
                </c:pt>
                <c:pt idx="135">
                  <c:v>4.5</c:v>
                </c:pt>
                <c:pt idx="136">
                  <c:v>4.5333333333333332</c:v>
                </c:pt>
                <c:pt idx="137">
                  <c:v>4.5666666666666664</c:v>
                </c:pt>
                <c:pt idx="138">
                  <c:v>4.5999999999999996</c:v>
                </c:pt>
                <c:pt idx="139">
                  <c:v>4.6333333333333329</c:v>
                </c:pt>
                <c:pt idx="140">
                  <c:v>4.666666666666667</c:v>
                </c:pt>
                <c:pt idx="141">
                  <c:v>4.7</c:v>
                </c:pt>
              </c:numCache>
            </c:numRef>
          </c:xVal>
          <c:yVal>
            <c:numRef>
              <c:f>'att7'!$D$2:$D$143</c:f>
              <c:numCache>
                <c:formatCode>General</c:formatCode>
                <c:ptCount val="142"/>
                <c:pt idx="0">
                  <c:v>175.97332933931841</c:v>
                </c:pt>
                <c:pt idx="1">
                  <c:v>177.932821758605</c:v>
                </c:pt>
                <c:pt idx="2">
                  <c:v>179.53120320388041</c:v>
                </c:pt>
                <c:pt idx="3">
                  <c:v>181.5686866820742</c:v>
                </c:pt>
                <c:pt idx="4">
                  <c:v>183.4473886895363</c:v>
                </c:pt>
                <c:pt idx="5">
                  <c:v>185.54052296617229</c:v>
                </c:pt>
                <c:pt idx="6">
                  <c:v>187.09200422898371</c:v>
                </c:pt>
                <c:pt idx="7">
                  <c:v>188.94470814079739</c:v>
                </c:pt>
                <c:pt idx="8">
                  <c:v>190.7114449419002</c:v>
                </c:pt>
                <c:pt idx="9">
                  <c:v>192.11543866993151</c:v>
                </c:pt>
                <c:pt idx="10">
                  <c:v>194.22950462082369</c:v>
                </c:pt>
                <c:pt idx="11">
                  <c:v>195.8912127373149</c:v>
                </c:pt>
                <c:pt idx="12">
                  <c:v>197.5088032253181</c:v>
                </c:pt>
                <c:pt idx="13">
                  <c:v>199.55345119747071</c:v>
                </c:pt>
                <c:pt idx="14">
                  <c:v>201.41066813076881</c:v>
                </c:pt>
                <c:pt idx="15">
                  <c:v>203.29166878780811</c:v>
                </c:pt>
                <c:pt idx="16">
                  <c:v>204.9972217708295</c:v>
                </c:pt>
                <c:pt idx="17">
                  <c:v>206.93329556709551</c:v>
                </c:pt>
                <c:pt idx="18">
                  <c:v>208.76097775484999</c:v>
                </c:pt>
                <c:pt idx="19">
                  <c:v>210.46901579135391</c:v>
                </c:pt>
                <c:pt idx="20">
                  <c:v>212.29486936167689</c:v>
                </c:pt>
                <c:pt idx="21">
                  <c:v>214.12696263305381</c:v>
                </c:pt>
                <c:pt idx="22">
                  <c:v>215.97719094123639</c:v>
                </c:pt>
                <c:pt idx="23">
                  <c:v>217.93407778711301</c:v>
                </c:pt>
                <c:pt idx="24">
                  <c:v>220.0990660499387</c:v>
                </c:pt>
                <c:pt idx="25">
                  <c:v>222.00020493127019</c:v>
                </c:pt>
                <c:pt idx="26">
                  <c:v>223.81124456310459</c:v>
                </c:pt>
                <c:pt idx="27">
                  <c:v>225.644552018095</c:v>
                </c:pt>
                <c:pt idx="28">
                  <c:v>227.99650596604721</c:v>
                </c:pt>
                <c:pt idx="29">
                  <c:v>229.77889431479909</c:v>
                </c:pt>
                <c:pt idx="51">
                  <c:v>300.70525476771962</c:v>
                </c:pt>
                <c:pt idx="83">
                  <c:v>336.18875160648565</c:v>
                </c:pt>
                <c:pt idx="84">
                  <c:v>338.57513174819996</c:v>
                </c:pt>
                <c:pt idx="85">
                  <c:v>340.45352291141074</c:v>
                </c:pt>
                <c:pt idx="86">
                  <c:v>342.62434917831337</c:v>
                </c:pt>
                <c:pt idx="87">
                  <c:v>344.63825824505824</c:v>
                </c:pt>
                <c:pt idx="88">
                  <c:v>346.8895807503655</c:v>
                </c:pt>
                <c:pt idx="89">
                  <c:v>348.79429093301508</c:v>
                </c:pt>
                <c:pt idx="90">
                  <c:v>350.84210846547239</c:v>
                </c:pt>
                <c:pt idx="91">
                  <c:v>352.83309414635056</c:v>
                </c:pt>
                <c:pt idx="92">
                  <c:v>354.59952976155512</c:v>
                </c:pt>
                <c:pt idx="93">
                  <c:v>356.55557410342703</c:v>
                </c:pt>
                <c:pt idx="94">
                  <c:v>358.9940384644292</c:v>
                </c:pt>
                <c:pt idx="95">
                  <c:v>361.02136843009254</c:v>
                </c:pt>
                <c:pt idx="96">
                  <c:v>362.86092621067775</c:v>
                </c:pt>
                <c:pt idx="97">
                  <c:v>364.85128865715103</c:v>
                </c:pt>
                <c:pt idx="98">
                  <c:v>366.85457977255368</c:v>
                </c:pt>
                <c:pt idx="99">
                  <c:v>368.68224662468822</c:v>
                </c:pt>
                <c:pt idx="100">
                  <c:v>370.74881708715964</c:v>
                </c:pt>
                <c:pt idx="102">
                  <c:v>374.61959688372036</c:v>
                </c:pt>
                <c:pt idx="103">
                  <c:v>376.54299751400526</c:v>
                </c:pt>
                <c:pt idx="104">
                  <c:v>378.36763405427615</c:v>
                </c:pt>
                <c:pt idx="105">
                  <c:v>380.37553182863439</c:v>
                </c:pt>
                <c:pt idx="106">
                  <c:v>382.28888537635413</c:v>
                </c:pt>
                <c:pt idx="107">
                  <c:v>384.21342121047269</c:v>
                </c:pt>
                <c:pt idx="108">
                  <c:v>386.08393344894012</c:v>
                </c:pt>
                <c:pt idx="109">
                  <c:v>387.98016262349518</c:v>
                </c:pt>
                <c:pt idx="110">
                  <c:v>389.8417739199125</c:v>
                </c:pt>
                <c:pt idx="111">
                  <c:v>391.7529606492966</c:v>
                </c:pt>
                <c:pt idx="112">
                  <c:v>393.69348027678802</c:v>
                </c:pt>
                <c:pt idx="113">
                  <c:v>395.62731854727986</c:v>
                </c:pt>
                <c:pt idx="114">
                  <c:v>397.49066044708678</c:v>
                </c:pt>
                <c:pt idx="115">
                  <c:v>399.34016964</c:v>
                </c:pt>
                <c:pt idx="116">
                  <c:v>401.24539297916914</c:v>
                </c:pt>
                <c:pt idx="117">
                  <c:v>403.1598351290242</c:v>
                </c:pt>
                <c:pt idx="118">
                  <c:v>405.03812397308195</c:v>
                </c:pt>
                <c:pt idx="119">
                  <c:v>406.87623327307455</c:v>
                </c:pt>
                <c:pt idx="120">
                  <c:v>408.75845983292356</c:v>
                </c:pt>
                <c:pt idx="121">
                  <c:v>410.68152023226565</c:v>
                </c:pt>
                <c:pt idx="122">
                  <c:v>421.82052349732356</c:v>
                </c:pt>
                <c:pt idx="124">
                  <c:v>417.01557959578776</c:v>
                </c:pt>
                <c:pt idx="125">
                  <c:v>417.26371766858347</c:v>
                </c:pt>
                <c:pt idx="126">
                  <c:v>419.88892831976386</c:v>
                </c:pt>
                <c:pt idx="127">
                  <c:v>421.72961588879724</c:v>
                </c:pt>
                <c:pt idx="128">
                  <c:v>423.58472916175651</c:v>
                </c:pt>
                <c:pt idx="129">
                  <c:v>425.40873416345983</c:v>
                </c:pt>
                <c:pt idx="130">
                  <c:v>427.27244965316038</c:v>
                </c:pt>
                <c:pt idx="131">
                  <c:v>429.09967048197137</c:v>
                </c:pt>
                <c:pt idx="132">
                  <c:v>430.92902993756627</c:v>
                </c:pt>
                <c:pt idx="133">
                  <c:v>432.80869147327383</c:v>
                </c:pt>
                <c:pt idx="134">
                  <c:v>434.63952231888237</c:v>
                </c:pt>
                <c:pt idx="135">
                  <c:v>436.48085029781208</c:v>
                </c:pt>
                <c:pt idx="136">
                  <c:v>438.28803437053239</c:v>
                </c:pt>
                <c:pt idx="137">
                  <c:v>440.08255815729927</c:v>
                </c:pt>
                <c:pt idx="138">
                  <c:v>441.95903996962977</c:v>
                </c:pt>
                <c:pt idx="139">
                  <c:v>443.94255613680673</c:v>
                </c:pt>
                <c:pt idx="140">
                  <c:v>445.61738653222227</c:v>
                </c:pt>
                <c:pt idx="141">
                  <c:v>447.51252105438829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A4-4CDE-859A-325C0C57B82D}"/>
            </c:ext>
          </c:extLst>
        </c:ser>
        <c:ser>
          <c:idx val="1"/>
          <c:order val="1"/>
          <c:tx>
            <c:strRef>
              <c:f>'att7'!$H$1</c:f>
              <c:strCache>
                <c:ptCount val="1"/>
                <c:pt idx="0">
                  <c:v>prediction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'att7'!$A$2:$A$143</c:f>
              <c:numCache>
                <c:formatCode>General</c:formatCode>
                <c:ptCount val="142"/>
                <c:pt idx="0">
                  <c:v>0</c:v>
                </c:pt>
                <c:pt idx="1">
                  <c:v>3.3333333333333333E-2</c:v>
                </c:pt>
                <c:pt idx="2">
                  <c:v>6.6666666666666666E-2</c:v>
                </c:pt>
                <c:pt idx="3">
                  <c:v>0.1</c:v>
                </c:pt>
                <c:pt idx="4">
                  <c:v>0.1333333333333333</c:v>
                </c:pt>
                <c:pt idx="5">
                  <c:v>0.16666666666666671</c:v>
                </c:pt>
                <c:pt idx="6">
                  <c:v>0.2</c:v>
                </c:pt>
                <c:pt idx="7">
                  <c:v>0.23333333333333331</c:v>
                </c:pt>
                <c:pt idx="8">
                  <c:v>0.26666666666666672</c:v>
                </c:pt>
                <c:pt idx="9">
                  <c:v>0.3</c:v>
                </c:pt>
                <c:pt idx="10">
                  <c:v>0.33333333333333331</c:v>
                </c:pt>
                <c:pt idx="11">
                  <c:v>0.36666666666666659</c:v>
                </c:pt>
                <c:pt idx="12">
                  <c:v>0.4</c:v>
                </c:pt>
                <c:pt idx="13">
                  <c:v>0.43333333333333329</c:v>
                </c:pt>
                <c:pt idx="14">
                  <c:v>0.46666666666666667</c:v>
                </c:pt>
                <c:pt idx="15">
                  <c:v>0.5</c:v>
                </c:pt>
                <c:pt idx="16">
                  <c:v>0.53333333333333333</c:v>
                </c:pt>
                <c:pt idx="17">
                  <c:v>0.56666666666666665</c:v>
                </c:pt>
                <c:pt idx="18">
                  <c:v>0.6</c:v>
                </c:pt>
                <c:pt idx="19">
                  <c:v>0.6333333333333333</c:v>
                </c:pt>
                <c:pt idx="20">
                  <c:v>0.66666666666666663</c:v>
                </c:pt>
                <c:pt idx="21">
                  <c:v>0.7</c:v>
                </c:pt>
                <c:pt idx="22">
                  <c:v>0.73333333333333328</c:v>
                </c:pt>
                <c:pt idx="23">
                  <c:v>0.76666666666666661</c:v>
                </c:pt>
                <c:pt idx="24">
                  <c:v>0.8</c:v>
                </c:pt>
                <c:pt idx="25">
                  <c:v>0.83333333333333337</c:v>
                </c:pt>
                <c:pt idx="26">
                  <c:v>0.8666666666666667</c:v>
                </c:pt>
                <c:pt idx="27">
                  <c:v>0.9</c:v>
                </c:pt>
                <c:pt idx="28">
                  <c:v>0.93333333333333335</c:v>
                </c:pt>
                <c:pt idx="29">
                  <c:v>0.96666666666666667</c:v>
                </c:pt>
                <c:pt idx="30">
                  <c:v>1</c:v>
                </c:pt>
                <c:pt idx="31">
                  <c:v>1.033333333333333</c:v>
                </c:pt>
                <c:pt idx="32">
                  <c:v>1.0666666666666671</c:v>
                </c:pt>
                <c:pt idx="33">
                  <c:v>1.1000000000000001</c:v>
                </c:pt>
                <c:pt idx="34">
                  <c:v>1.1333333333333331</c:v>
                </c:pt>
                <c:pt idx="35">
                  <c:v>1.166666666666667</c:v>
                </c:pt>
                <c:pt idx="36">
                  <c:v>1.2</c:v>
                </c:pt>
                <c:pt idx="37">
                  <c:v>1.2333333333333329</c:v>
                </c:pt>
                <c:pt idx="38">
                  <c:v>1.2666666666666671</c:v>
                </c:pt>
                <c:pt idx="39">
                  <c:v>1.3</c:v>
                </c:pt>
                <c:pt idx="40">
                  <c:v>1.333333333333333</c:v>
                </c:pt>
                <c:pt idx="41">
                  <c:v>1.3666666666666669</c:v>
                </c:pt>
                <c:pt idx="42">
                  <c:v>1.4</c:v>
                </c:pt>
                <c:pt idx="43">
                  <c:v>1.4333333333333329</c:v>
                </c:pt>
                <c:pt idx="44">
                  <c:v>1.466666666666667</c:v>
                </c:pt>
                <c:pt idx="45">
                  <c:v>1.5</c:v>
                </c:pt>
                <c:pt idx="46">
                  <c:v>1.533333333333333</c:v>
                </c:pt>
                <c:pt idx="47">
                  <c:v>1.5666666666666671</c:v>
                </c:pt>
                <c:pt idx="48">
                  <c:v>1.6</c:v>
                </c:pt>
                <c:pt idx="49">
                  <c:v>1.6333333333333331</c:v>
                </c:pt>
                <c:pt idx="50">
                  <c:v>1.666666666666667</c:v>
                </c:pt>
                <c:pt idx="51">
                  <c:v>1.7</c:v>
                </c:pt>
                <c:pt idx="52">
                  <c:v>1.7333333333333329</c:v>
                </c:pt>
                <c:pt idx="53">
                  <c:v>1.7666666666666671</c:v>
                </c:pt>
                <c:pt idx="54">
                  <c:v>1.8</c:v>
                </c:pt>
                <c:pt idx="55">
                  <c:v>1.833333333333333</c:v>
                </c:pt>
                <c:pt idx="56">
                  <c:v>1.8666666666666669</c:v>
                </c:pt>
                <c:pt idx="57">
                  <c:v>1.9</c:v>
                </c:pt>
                <c:pt idx="58">
                  <c:v>1.9333333333333329</c:v>
                </c:pt>
                <c:pt idx="59">
                  <c:v>1.966666666666667</c:v>
                </c:pt>
                <c:pt idx="60">
                  <c:v>2</c:v>
                </c:pt>
                <c:pt idx="61">
                  <c:v>2.0333333333333332</c:v>
                </c:pt>
                <c:pt idx="62">
                  <c:v>2.066666666666666</c:v>
                </c:pt>
                <c:pt idx="63">
                  <c:v>2.1</c:v>
                </c:pt>
                <c:pt idx="64">
                  <c:v>2.1333333333333329</c:v>
                </c:pt>
                <c:pt idx="65">
                  <c:v>2.166666666666667</c:v>
                </c:pt>
                <c:pt idx="66">
                  <c:v>2.2000000000000002</c:v>
                </c:pt>
                <c:pt idx="67">
                  <c:v>2.2333333333333329</c:v>
                </c:pt>
                <c:pt idx="68">
                  <c:v>2.2666666666666671</c:v>
                </c:pt>
                <c:pt idx="69">
                  <c:v>2.2999999999999998</c:v>
                </c:pt>
                <c:pt idx="70">
                  <c:v>2.333333333333333</c:v>
                </c:pt>
                <c:pt idx="71">
                  <c:v>2.3666666666666671</c:v>
                </c:pt>
                <c:pt idx="72">
                  <c:v>2.4</c:v>
                </c:pt>
                <c:pt idx="73">
                  <c:v>2.4333333333333331</c:v>
                </c:pt>
                <c:pt idx="74">
                  <c:v>2.4666666666666668</c:v>
                </c:pt>
                <c:pt idx="75">
                  <c:v>2.5</c:v>
                </c:pt>
                <c:pt idx="76">
                  <c:v>2.5333333333333332</c:v>
                </c:pt>
                <c:pt idx="77">
                  <c:v>2.566666666666666</c:v>
                </c:pt>
                <c:pt idx="78">
                  <c:v>2.6</c:v>
                </c:pt>
                <c:pt idx="79">
                  <c:v>2.6333333333333329</c:v>
                </c:pt>
                <c:pt idx="80">
                  <c:v>2.666666666666667</c:v>
                </c:pt>
                <c:pt idx="81">
                  <c:v>2.7</c:v>
                </c:pt>
                <c:pt idx="82">
                  <c:v>2.7333333333333329</c:v>
                </c:pt>
                <c:pt idx="83">
                  <c:v>2.7666666666666671</c:v>
                </c:pt>
                <c:pt idx="84">
                  <c:v>2.8</c:v>
                </c:pt>
                <c:pt idx="85">
                  <c:v>2.833333333333333</c:v>
                </c:pt>
                <c:pt idx="86">
                  <c:v>2.8666666666666671</c:v>
                </c:pt>
                <c:pt idx="87">
                  <c:v>2.9</c:v>
                </c:pt>
                <c:pt idx="88">
                  <c:v>2.9333333333333331</c:v>
                </c:pt>
                <c:pt idx="89">
                  <c:v>2.9666666666666668</c:v>
                </c:pt>
                <c:pt idx="90">
                  <c:v>3</c:v>
                </c:pt>
                <c:pt idx="91">
                  <c:v>3.0333333333333332</c:v>
                </c:pt>
                <c:pt idx="92">
                  <c:v>3.066666666666666</c:v>
                </c:pt>
                <c:pt idx="93">
                  <c:v>3.1</c:v>
                </c:pt>
                <c:pt idx="94">
                  <c:v>3.1333333333333329</c:v>
                </c:pt>
                <c:pt idx="95">
                  <c:v>3.166666666666667</c:v>
                </c:pt>
                <c:pt idx="96">
                  <c:v>3.2</c:v>
                </c:pt>
                <c:pt idx="97">
                  <c:v>3.2333333333333329</c:v>
                </c:pt>
                <c:pt idx="98">
                  <c:v>3.2666666666666671</c:v>
                </c:pt>
                <c:pt idx="99">
                  <c:v>3.3</c:v>
                </c:pt>
                <c:pt idx="100">
                  <c:v>3.333333333333333</c:v>
                </c:pt>
                <c:pt idx="101">
                  <c:v>3.3666666666666671</c:v>
                </c:pt>
                <c:pt idx="102">
                  <c:v>3.4</c:v>
                </c:pt>
                <c:pt idx="103">
                  <c:v>3.4333333333333331</c:v>
                </c:pt>
                <c:pt idx="104">
                  <c:v>3.4666666666666668</c:v>
                </c:pt>
                <c:pt idx="105">
                  <c:v>3.5</c:v>
                </c:pt>
                <c:pt idx="106">
                  <c:v>3.5333333333333332</c:v>
                </c:pt>
                <c:pt idx="107">
                  <c:v>3.566666666666666</c:v>
                </c:pt>
                <c:pt idx="108">
                  <c:v>3.6</c:v>
                </c:pt>
                <c:pt idx="109">
                  <c:v>3.6333333333333329</c:v>
                </c:pt>
                <c:pt idx="110">
                  <c:v>3.666666666666667</c:v>
                </c:pt>
                <c:pt idx="111">
                  <c:v>3.7</c:v>
                </c:pt>
                <c:pt idx="112">
                  <c:v>3.7333333333333329</c:v>
                </c:pt>
                <c:pt idx="113">
                  <c:v>3.7666666666666671</c:v>
                </c:pt>
                <c:pt idx="114">
                  <c:v>3.8</c:v>
                </c:pt>
                <c:pt idx="115">
                  <c:v>3.833333333333333</c:v>
                </c:pt>
                <c:pt idx="116">
                  <c:v>3.8666666666666671</c:v>
                </c:pt>
                <c:pt idx="117">
                  <c:v>3.9</c:v>
                </c:pt>
                <c:pt idx="118">
                  <c:v>3.9333333333333331</c:v>
                </c:pt>
                <c:pt idx="119">
                  <c:v>3.9666666666666668</c:v>
                </c:pt>
                <c:pt idx="120">
                  <c:v>4</c:v>
                </c:pt>
                <c:pt idx="121">
                  <c:v>4.0333333333333332</c:v>
                </c:pt>
                <c:pt idx="122">
                  <c:v>4.0666666666666664</c:v>
                </c:pt>
                <c:pt idx="123">
                  <c:v>4.0999999999999996</c:v>
                </c:pt>
                <c:pt idx="124">
                  <c:v>4.1333333333333329</c:v>
                </c:pt>
                <c:pt idx="125">
                  <c:v>4.166666666666667</c:v>
                </c:pt>
                <c:pt idx="126">
                  <c:v>4.2</c:v>
                </c:pt>
                <c:pt idx="127">
                  <c:v>4.2333333333333334</c:v>
                </c:pt>
                <c:pt idx="128">
                  <c:v>4.2666666666666666</c:v>
                </c:pt>
                <c:pt idx="129">
                  <c:v>4.3</c:v>
                </c:pt>
                <c:pt idx="130">
                  <c:v>4.333333333333333</c:v>
                </c:pt>
                <c:pt idx="131">
                  <c:v>4.3666666666666663</c:v>
                </c:pt>
                <c:pt idx="132">
                  <c:v>4.4000000000000004</c:v>
                </c:pt>
                <c:pt idx="133">
                  <c:v>4.4333333333333336</c:v>
                </c:pt>
                <c:pt idx="134">
                  <c:v>4.4666666666666668</c:v>
                </c:pt>
                <c:pt idx="135">
                  <c:v>4.5</c:v>
                </c:pt>
                <c:pt idx="136">
                  <c:v>4.5333333333333332</c:v>
                </c:pt>
                <c:pt idx="137">
                  <c:v>4.5666666666666664</c:v>
                </c:pt>
                <c:pt idx="138">
                  <c:v>4.5999999999999996</c:v>
                </c:pt>
                <c:pt idx="139">
                  <c:v>4.6333333333333329</c:v>
                </c:pt>
                <c:pt idx="140">
                  <c:v>4.666666666666667</c:v>
                </c:pt>
                <c:pt idx="141">
                  <c:v>4.7</c:v>
                </c:pt>
              </c:numCache>
            </c:numRef>
          </c:xVal>
          <c:yVal>
            <c:numRef>
              <c:f>'att7'!$H$2:$H$143</c:f>
              <c:numCache>
                <c:formatCode>General</c:formatCode>
                <c:ptCount val="142"/>
                <c:pt idx="0">
                  <c:v>309.7934918703977</c:v>
                </c:pt>
                <c:pt idx="1">
                  <c:v>311.6878252037568</c:v>
                </c:pt>
                <c:pt idx="2">
                  <c:v>313.58215853705769</c:v>
                </c:pt>
                <c:pt idx="3">
                  <c:v>315.47649187041679</c:v>
                </c:pt>
                <c:pt idx="4">
                  <c:v>317.37082520371769</c:v>
                </c:pt>
                <c:pt idx="5">
                  <c:v>319.26515853707679</c:v>
                </c:pt>
                <c:pt idx="6">
                  <c:v>321.15949187037768</c:v>
                </c:pt>
                <c:pt idx="7">
                  <c:v>323.05382520373678</c:v>
                </c:pt>
                <c:pt idx="8">
                  <c:v>324.94815853703767</c:v>
                </c:pt>
                <c:pt idx="9">
                  <c:v>326.84249187039677</c:v>
                </c:pt>
                <c:pt idx="10">
                  <c:v>328.73682520369766</c:v>
                </c:pt>
                <c:pt idx="11">
                  <c:v>330.63115853705676</c:v>
                </c:pt>
                <c:pt idx="12">
                  <c:v>332.52549187035765</c:v>
                </c:pt>
                <c:pt idx="13">
                  <c:v>334.41982520371675</c:v>
                </c:pt>
                <c:pt idx="14">
                  <c:v>336.31415853701765</c:v>
                </c:pt>
                <c:pt idx="15">
                  <c:v>338.20849187037675</c:v>
                </c:pt>
                <c:pt idx="16">
                  <c:v>340.10282520373585</c:v>
                </c:pt>
                <c:pt idx="17">
                  <c:v>341.99715853703674</c:v>
                </c:pt>
                <c:pt idx="18">
                  <c:v>343.89149187039584</c:v>
                </c:pt>
                <c:pt idx="19">
                  <c:v>345.78582520375494</c:v>
                </c:pt>
                <c:pt idx="20">
                  <c:v>347.68015853711404</c:v>
                </c:pt>
                <c:pt idx="21">
                  <c:v>349.57449187041493</c:v>
                </c:pt>
                <c:pt idx="22">
                  <c:v>351.46882520377403</c:v>
                </c:pt>
                <c:pt idx="23">
                  <c:v>353.36315853707492</c:v>
                </c:pt>
                <c:pt idx="24">
                  <c:v>355.25749187043402</c:v>
                </c:pt>
                <c:pt idx="25">
                  <c:v>357.15182520373492</c:v>
                </c:pt>
                <c:pt idx="26">
                  <c:v>359.04615853709402</c:v>
                </c:pt>
                <c:pt idx="27">
                  <c:v>360.94049187039491</c:v>
                </c:pt>
                <c:pt idx="28">
                  <c:v>362.83482520375401</c:v>
                </c:pt>
                <c:pt idx="29">
                  <c:v>364.7291585370549</c:v>
                </c:pt>
                <c:pt idx="30">
                  <c:v>366.623491870414</c:v>
                </c:pt>
                <c:pt idx="31">
                  <c:v>368.5178252037731</c:v>
                </c:pt>
                <c:pt idx="32">
                  <c:v>370.41215853707399</c:v>
                </c:pt>
                <c:pt idx="33">
                  <c:v>372.30649187043309</c:v>
                </c:pt>
                <c:pt idx="34">
                  <c:v>374.20082520373398</c:v>
                </c:pt>
                <c:pt idx="35">
                  <c:v>376.09515853709308</c:v>
                </c:pt>
                <c:pt idx="36">
                  <c:v>377.98949187039398</c:v>
                </c:pt>
                <c:pt idx="37">
                  <c:v>379.88382520375308</c:v>
                </c:pt>
                <c:pt idx="38">
                  <c:v>381.77815853705397</c:v>
                </c:pt>
                <c:pt idx="39">
                  <c:v>383.67249187041307</c:v>
                </c:pt>
                <c:pt idx="40">
                  <c:v>385.56682520371396</c:v>
                </c:pt>
                <c:pt idx="41">
                  <c:v>387.46115853707306</c:v>
                </c:pt>
                <c:pt idx="42">
                  <c:v>389.35549187037395</c:v>
                </c:pt>
                <c:pt idx="43">
                  <c:v>391.24982520373305</c:v>
                </c:pt>
                <c:pt idx="44">
                  <c:v>393.14415853703395</c:v>
                </c:pt>
                <c:pt idx="45">
                  <c:v>395.03849187039305</c:v>
                </c:pt>
                <c:pt idx="46">
                  <c:v>396.93282520375215</c:v>
                </c:pt>
                <c:pt idx="47">
                  <c:v>398.82715853705304</c:v>
                </c:pt>
                <c:pt idx="48">
                  <c:v>400.72149187041214</c:v>
                </c:pt>
                <c:pt idx="49">
                  <c:v>402.61582520371303</c:v>
                </c:pt>
                <c:pt idx="50">
                  <c:v>404.51015853707213</c:v>
                </c:pt>
                <c:pt idx="51">
                  <c:v>406.40449187037302</c:v>
                </c:pt>
                <c:pt idx="52">
                  <c:v>408.29882520373212</c:v>
                </c:pt>
                <c:pt idx="53">
                  <c:v>410.19315853703301</c:v>
                </c:pt>
                <c:pt idx="54">
                  <c:v>412.08749187039211</c:v>
                </c:pt>
                <c:pt idx="55">
                  <c:v>413.98182520369301</c:v>
                </c:pt>
                <c:pt idx="56">
                  <c:v>415.87615853705211</c:v>
                </c:pt>
                <c:pt idx="57">
                  <c:v>417.770491870353</c:v>
                </c:pt>
                <c:pt idx="58">
                  <c:v>419.6648252037121</c:v>
                </c:pt>
                <c:pt idx="59">
                  <c:v>421.5591585370712</c:v>
                </c:pt>
                <c:pt idx="60">
                  <c:v>423.4534918704303</c:v>
                </c:pt>
                <c:pt idx="61">
                  <c:v>425.34782520373119</c:v>
                </c:pt>
                <c:pt idx="62">
                  <c:v>427.24215853709029</c:v>
                </c:pt>
                <c:pt idx="63">
                  <c:v>429.13649187044939</c:v>
                </c:pt>
                <c:pt idx="64">
                  <c:v>431.03082520375028</c:v>
                </c:pt>
                <c:pt idx="65">
                  <c:v>432.92515853710938</c:v>
                </c:pt>
                <c:pt idx="66">
                  <c:v>434.81949187041027</c:v>
                </c:pt>
                <c:pt idx="67">
                  <c:v>436.71382520376937</c:v>
                </c:pt>
                <c:pt idx="68">
                  <c:v>438.60815853707027</c:v>
                </c:pt>
                <c:pt idx="69">
                  <c:v>440.50249187042937</c:v>
                </c:pt>
                <c:pt idx="70">
                  <c:v>442.39682520373026</c:v>
                </c:pt>
                <c:pt idx="71">
                  <c:v>444.29115853708936</c:v>
                </c:pt>
                <c:pt idx="72">
                  <c:v>446.18549187039025</c:v>
                </c:pt>
                <c:pt idx="73">
                  <c:v>448.07982520374935</c:v>
                </c:pt>
                <c:pt idx="74">
                  <c:v>449.97415853705024</c:v>
                </c:pt>
                <c:pt idx="75">
                  <c:v>451.86849187040934</c:v>
                </c:pt>
                <c:pt idx="76">
                  <c:v>453.76282520376844</c:v>
                </c:pt>
                <c:pt idx="77">
                  <c:v>455.65715853706934</c:v>
                </c:pt>
                <c:pt idx="78">
                  <c:v>457.55149187042844</c:v>
                </c:pt>
                <c:pt idx="79">
                  <c:v>459.44582520372933</c:v>
                </c:pt>
                <c:pt idx="80">
                  <c:v>461.34015853708843</c:v>
                </c:pt>
                <c:pt idx="81">
                  <c:v>463.23449187038932</c:v>
                </c:pt>
                <c:pt idx="82">
                  <c:v>465.12882520374842</c:v>
                </c:pt>
                <c:pt idx="83">
                  <c:v>467.02315853704931</c:v>
                </c:pt>
                <c:pt idx="84">
                  <c:v>468.91749187040841</c:v>
                </c:pt>
                <c:pt idx="85">
                  <c:v>470.8118252037093</c:v>
                </c:pt>
                <c:pt idx="86">
                  <c:v>472.7061585370684</c:v>
                </c:pt>
                <c:pt idx="87">
                  <c:v>474.6004918703693</c:v>
                </c:pt>
                <c:pt idx="88">
                  <c:v>476.4948252037284</c:v>
                </c:pt>
                <c:pt idx="89">
                  <c:v>478.38915853702929</c:v>
                </c:pt>
                <c:pt idx="90">
                  <c:v>480.28349187038839</c:v>
                </c:pt>
                <c:pt idx="91">
                  <c:v>482.17782520374749</c:v>
                </c:pt>
                <c:pt idx="92">
                  <c:v>484.07215853704838</c:v>
                </c:pt>
                <c:pt idx="93">
                  <c:v>485.96649187040748</c:v>
                </c:pt>
                <c:pt idx="94">
                  <c:v>487.86082520370837</c:v>
                </c:pt>
                <c:pt idx="95">
                  <c:v>489.75515853706747</c:v>
                </c:pt>
                <c:pt idx="96">
                  <c:v>491.64949187036837</c:v>
                </c:pt>
                <c:pt idx="97">
                  <c:v>493.54382520372747</c:v>
                </c:pt>
                <c:pt idx="98">
                  <c:v>495.43815853702836</c:v>
                </c:pt>
                <c:pt idx="99">
                  <c:v>497.33249187038746</c:v>
                </c:pt>
                <c:pt idx="100">
                  <c:v>499.22682520374656</c:v>
                </c:pt>
                <c:pt idx="101">
                  <c:v>501.12115853704745</c:v>
                </c:pt>
                <c:pt idx="102">
                  <c:v>503.01549187040655</c:v>
                </c:pt>
                <c:pt idx="103">
                  <c:v>504.90982520376565</c:v>
                </c:pt>
                <c:pt idx="104">
                  <c:v>506.80415853706654</c:v>
                </c:pt>
                <c:pt idx="105">
                  <c:v>508.69849187042564</c:v>
                </c:pt>
                <c:pt idx="106">
                  <c:v>510.59282520378474</c:v>
                </c:pt>
                <c:pt idx="107">
                  <c:v>512.48715853708563</c:v>
                </c:pt>
                <c:pt idx="108">
                  <c:v>514.38149187044473</c:v>
                </c:pt>
                <c:pt idx="109">
                  <c:v>516.27582520374563</c:v>
                </c:pt>
                <c:pt idx="110">
                  <c:v>518.17015853710473</c:v>
                </c:pt>
                <c:pt idx="111">
                  <c:v>520.06449187040562</c:v>
                </c:pt>
                <c:pt idx="112">
                  <c:v>521.95882520376472</c:v>
                </c:pt>
                <c:pt idx="113">
                  <c:v>523.85315853706561</c:v>
                </c:pt>
                <c:pt idx="114">
                  <c:v>525.74749187042471</c:v>
                </c:pt>
                <c:pt idx="115">
                  <c:v>527.6418252037256</c:v>
                </c:pt>
                <c:pt idx="116">
                  <c:v>529.5361585370847</c:v>
                </c:pt>
                <c:pt idx="117">
                  <c:v>531.43049187038559</c:v>
                </c:pt>
                <c:pt idx="118">
                  <c:v>533.32482520374469</c:v>
                </c:pt>
                <c:pt idx="119">
                  <c:v>535.21915853704559</c:v>
                </c:pt>
                <c:pt idx="120">
                  <c:v>537.11349187040469</c:v>
                </c:pt>
                <c:pt idx="121">
                  <c:v>539.00782520376379</c:v>
                </c:pt>
                <c:pt idx="122">
                  <c:v>540.90215853706468</c:v>
                </c:pt>
                <c:pt idx="123">
                  <c:v>542.79649187042378</c:v>
                </c:pt>
                <c:pt idx="124">
                  <c:v>544.69082520372467</c:v>
                </c:pt>
                <c:pt idx="125">
                  <c:v>546.58515853708377</c:v>
                </c:pt>
                <c:pt idx="126">
                  <c:v>548.47949187038466</c:v>
                </c:pt>
                <c:pt idx="127">
                  <c:v>550.37382520374376</c:v>
                </c:pt>
                <c:pt idx="128">
                  <c:v>552.26815853704466</c:v>
                </c:pt>
                <c:pt idx="129">
                  <c:v>554.16249187040376</c:v>
                </c:pt>
                <c:pt idx="130">
                  <c:v>556.05682520370465</c:v>
                </c:pt>
                <c:pt idx="131">
                  <c:v>557.95115853706375</c:v>
                </c:pt>
                <c:pt idx="132">
                  <c:v>559.84549187036464</c:v>
                </c:pt>
                <c:pt idx="133">
                  <c:v>561.73982520372374</c:v>
                </c:pt>
                <c:pt idx="134">
                  <c:v>563.63415853702463</c:v>
                </c:pt>
                <c:pt idx="135">
                  <c:v>565.52849187038373</c:v>
                </c:pt>
                <c:pt idx="136">
                  <c:v>567.42282520374283</c:v>
                </c:pt>
                <c:pt idx="137">
                  <c:v>569.31715853704372</c:v>
                </c:pt>
                <c:pt idx="138">
                  <c:v>571.21149187040282</c:v>
                </c:pt>
                <c:pt idx="139">
                  <c:v>573.10582520370372</c:v>
                </c:pt>
                <c:pt idx="140">
                  <c:v>575.00015853706282</c:v>
                </c:pt>
                <c:pt idx="141">
                  <c:v>576.89449187036371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A4-4CDE-859A-325C0C57B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460799"/>
        <c:axId val="1230461759"/>
      </c:scatterChart>
      <c:valAx>
        <c:axId val="123046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30461759"/>
        <c:crosses val="autoZero"/>
        <c:crossBetween val="midCat"/>
      </c:valAx>
      <c:valAx>
        <c:axId val="123046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30460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'att9'!$D$1</c:f>
              <c:strCache>
                <c:ptCount val="1"/>
                <c:pt idx="0">
                  <c:v>roll_line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3491368547219125E-2"/>
                  <c:y val="0.13209708798363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</c:trendlineLbl>
          </c:trendline>
          <c:xVal>
            <c:numRef>
              <c:f>'att9'!$A$2:$A$293</c:f>
              <c:numCache>
                <c:formatCode>General</c:formatCode>
                <c:ptCount val="292"/>
                <c:pt idx="0">
                  <c:v>0</c:v>
                </c:pt>
                <c:pt idx="1">
                  <c:v>3.3333333333333333E-2</c:v>
                </c:pt>
                <c:pt idx="2">
                  <c:v>6.6666666666666666E-2</c:v>
                </c:pt>
                <c:pt idx="3">
                  <c:v>0.1</c:v>
                </c:pt>
                <c:pt idx="4">
                  <c:v>0.1333333333333333</c:v>
                </c:pt>
                <c:pt idx="5">
                  <c:v>0.16666666666666671</c:v>
                </c:pt>
                <c:pt idx="6">
                  <c:v>0.2</c:v>
                </c:pt>
                <c:pt idx="7">
                  <c:v>0.23333333333333331</c:v>
                </c:pt>
                <c:pt idx="8">
                  <c:v>0.26666666666666672</c:v>
                </c:pt>
                <c:pt idx="9">
                  <c:v>0.3</c:v>
                </c:pt>
                <c:pt idx="10">
                  <c:v>0.33333333333333331</c:v>
                </c:pt>
                <c:pt idx="11">
                  <c:v>0.36666666666666659</c:v>
                </c:pt>
                <c:pt idx="12">
                  <c:v>0.4</c:v>
                </c:pt>
                <c:pt idx="13">
                  <c:v>0.43333333333333329</c:v>
                </c:pt>
                <c:pt idx="14">
                  <c:v>0.46666666666666667</c:v>
                </c:pt>
                <c:pt idx="15">
                  <c:v>0.5</c:v>
                </c:pt>
                <c:pt idx="16">
                  <c:v>0.53333333333333333</c:v>
                </c:pt>
                <c:pt idx="17">
                  <c:v>0.56666666666666665</c:v>
                </c:pt>
                <c:pt idx="18">
                  <c:v>0.6</c:v>
                </c:pt>
                <c:pt idx="19">
                  <c:v>0.6333333333333333</c:v>
                </c:pt>
                <c:pt idx="20">
                  <c:v>0.66666666666666663</c:v>
                </c:pt>
                <c:pt idx="21">
                  <c:v>0.7</c:v>
                </c:pt>
                <c:pt idx="22">
                  <c:v>0.73333333333333328</c:v>
                </c:pt>
                <c:pt idx="23">
                  <c:v>0.76666666666666661</c:v>
                </c:pt>
                <c:pt idx="24">
                  <c:v>0.8</c:v>
                </c:pt>
                <c:pt idx="25">
                  <c:v>0.83333333333333337</c:v>
                </c:pt>
                <c:pt idx="26">
                  <c:v>0.8666666666666667</c:v>
                </c:pt>
                <c:pt idx="27">
                  <c:v>0.9</c:v>
                </c:pt>
                <c:pt idx="28">
                  <c:v>0.93333333333333335</c:v>
                </c:pt>
                <c:pt idx="29">
                  <c:v>0.96666666666666667</c:v>
                </c:pt>
                <c:pt idx="30">
                  <c:v>1</c:v>
                </c:pt>
                <c:pt idx="31">
                  <c:v>1.033333333333333</c:v>
                </c:pt>
                <c:pt idx="32">
                  <c:v>1.0666666666666671</c:v>
                </c:pt>
                <c:pt idx="33">
                  <c:v>1.1000000000000001</c:v>
                </c:pt>
                <c:pt idx="34">
                  <c:v>1.1333333333333331</c:v>
                </c:pt>
                <c:pt idx="35">
                  <c:v>1.166666666666667</c:v>
                </c:pt>
                <c:pt idx="36">
                  <c:v>1.2</c:v>
                </c:pt>
                <c:pt idx="37">
                  <c:v>1.2333333333333329</c:v>
                </c:pt>
                <c:pt idx="38">
                  <c:v>1.2666666666666671</c:v>
                </c:pt>
                <c:pt idx="39">
                  <c:v>1.3</c:v>
                </c:pt>
                <c:pt idx="40">
                  <c:v>1.333333333333333</c:v>
                </c:pt>
                <c:pt idx="41">
                  <c:v>1.3666666666666669</c:v>
                </c:pt>
                <c:pt idx="42">
                  <c:v>1.4</c:v>
                </c:pt>
                <c:pt idx="43">
                  <c:v>1.4333333333333329</c:v>
                </c:pt>
                <c:pt idx="44">
                  <c:v>1.466666666666667</c:v>
                </c:pt>
                <c:pt idx="45">
                  <c:v>1.5</c:v>
                </c:pt>
                <c:pt idx="46">
                  <c:v>1.533333333333333</c:v>
                </c:pt>
                <c:pt idx="47">
                  <c:v>1.5666666666666671</c:v>
                </c:pt>
                <c:pt idx="48">
                  <c:v>1.6</c:v>
                </c:pt>
                <c:pt idx="49">
                  <c:v>1.6333333333333331</c:v>
                </c:pt>
                <c:pt idx="50">
                  <c:v>1.666666666666667</c:v>
                </c:pt>
                <c:pt idx="51">
                  <c:v>1.7</c:v>
                </c:pt>
                <c:pt idx="52">
                  <c:v>1.7333333333333329</c:v>
                </c:pt>
                <c:pt idx="53">
                  <c:v>1.7666666666666671</c:v>
                </c:pt>
                <c:pt idx="54">
                  <c:v>1.8</c:v>
                </c:pt>
                <c:pt idx="55">
                  <c:v>1.833333333333333</c:v>
                </c:pt>
                <c:pt idx="56">
                  <c:v>1.8666666666666669</c:v>
                </c:pt>
                <c:pt idx="57">
                  <c:v>1.9</c:v>
                </c:pt>
                <c:pt idx="58">
                  <c:v>1.9333333333333329</c:v>
                </c:pt>
                <c:pt idx="59">
                  <c:v>1.966666666666667</c:v>
                </c:pt>
                <c:pt idx="60">
                  <c:v>2</c:v>
                </c:pt>
                <c:pt idx="61">
                  <c:v>2.0333333333333332</c:v>
                </c:pt>
                <c:pt idx="62">
                  <c:v>2.066666666666666</c:v>
                </c:pt>
                <c:pt idx="63">
                  <c:v>2.1</c:v>
                </c:pt>
                <c:pt idx="64">
                  <c:v>2.1333333333333329</c:v>
                </c:pt>
                <c:pt idx="65">
                  <c:v>2.166666666666667</c:v>
                </c:pt>
                <c:pt idx="66">
                  <c:v>2.2000000000000002</c:v>
                </c:pt>
                <c:pt idx="67">
                  <c:v>2.2333333333333329</c:v>
                </c:pt>
                <c:pt idx="68">
                  <c:v>2.2666666666666671</c:v>
                </c:pt>
                <c:pt idx="69">
                  <c:v>2.2999999999999998</c:v>
                </c:pt>
                <c:pt idx="70">
                  <c:v>2.333333333333333</c:v>
                </c:pt>
                <c:pt idx="71">
                  <c:v>2.3666666666666671</c:v>
                </c:pt>
                <c:pt idx="72">
                  <c:v>2.4</c:v>
                </c:pt>
                <c:pt idx="73">
                  <c:v>2.4333333333333331</c:v>
                </c:pt>
                <c:pt idx="74">
                  <c:v>2.4666666666666668</c:v>
                </c:pt>
                <c:pt idx="75">
                  <c:v>2.5</c:v>
                </c:pt>
                <c:pt idx="76">
                  <c:v>2.5333333333333332</c:v>
                </c:pt>
                <c:pt idx="77">
                  <c:v>2.566666666666666</c:v>
                </c:pt>
                <c:pt idx="78">
                  <c:v>2.6</c:v>
                </c:pt>
                <c:pt idx="79">
                  <c:v>2.6333333333333329</c:v>
                </c:pt>
                <c:pt idx="80">
                  <c:v>2.666666666666667</c:v>
                </c:pt>
                <c:pt idx="81">
                  <c:v>2.7</c:v>
                </c:pt>
                <c:pt idx="82">
                  <c:v>2.7333333333333329</c:v>
                </c:pt>
                <c:pt idx="83">
                  <c:v>2.7666666666666671</c:v>
                </c:pt>
                <c:pt idx="84">
                  <c:v>2.8</c:v>
                </c:pt>
                <c:pt idx="85">
                  <c:v>2.833333333333333</c:v>
                </c:pt>
                <c:pt idx="86">
                  <c:v>2.8666666666666671</c:v>
                </c:pt>
                <c:pt idx="87">
                  <c:v>2.9</c:v>
                </c:pt>
                <c:pt idx="88">
                  <c:v>2.9333333333333331</c:v>
                </c:pt>
                <c:pt idx="89">
                  <c:v>2.9666666666666668</c:v>
                </c:pt>
                <c:pt idx="90">
                  <c:v>3</c:v>
                </c:pt>
                <c:pt idx="91">
                  <c:v>3.0333333333333332</c:v>
                </c:pt>
                <c:pt idx="92">
                  <c:v>3.066666666666666</c:v>
                </c:pt>
                <c:pt idx="93">
                  <c:v>3.1</c:v>
                </c:pt>
                <c:pt idx="94">
                  <c:v>3.1333333333333329</c:v>
                </c:pt>
                <c:pt idx="95">
                  <c:v>3.166666666666667</c:v>
                </c:pt>
                <c:pt idx="96">
                  <c:v>3.2</c:v>
                </c:pt>
                <c:pt idx="97">
                  <c:v>3.2333333333333329</c:v>
                </c:pt>
                <c:pt idx="98">
                  <c:v>3.2666666666666671</c:v>
                </c:pt>
                <c:pt idx="99">
                  <c:v>3.3</c:v>
                </c:pt>
                <c:pt idx="100">
                  <c:v>3.333333333333333</c:v>
                </c:pt>
                <c:pt idx="101">
                  <c:v>3.3666666666666671</c:v>
                </c:pt>
                <c:pt idx="102">
                  <c:v>3.4</c:v>
                </c:pt>
                <c:pt idx="103">
                  <c:v>3.4333333333333331</c:v>
                </c:pt>
                <c:pt idx="104">
                  <c:v>3.4666666666666668</c:v>
                </c:pt>
                <c:pt idx="105">
                  <c:v>3.5</c:v>
                </c:pt>
                <c:pt idx="106">
                  <c:v>3.5333333333333332</c:v>
                </c:pt>
                <c:pt idx="107">
                  <c:v>3.566666666666666</c:v>
                </c:pt>
                <c:pt idx="108">
                  <c:v>3.6</c:v>
                </c:pt>
                <c:pt idx="109">
                  <c:v>3.6333333333333329</c:v>
                </c:pt>
                <c:pt idx="110">
                  <c:v>3.666666666666667</c:v>
                </c:pt>
                <c:pt idx="111">
                  <c:v>3.7</c:v>
                </c:pt>
                <c:pt idx="112">
                  <c:v>3.7333333333333329</c:v>
                </c:pt>
                <c:pt idx="113">
                  <c:v>3.7666666666666671</c:v>
                </c:pt>
                <c:pt idx="114">
                  <c:v>3.8</c:v>
                </c:pt>
                <c:pt idx="115">
                  <c:v>3.833333333333333</c:v>
                </c:pt>
                <c:pt idx="116">
                  <c:v>3.8666666666666671</c:v>
                </c:pt>
                <c:pt idx="117">
                  <c:v>3.9</c:v>
                </c:pt>
                <c:pt idx="118">
                  <c:v>3.9333333333333331</c:v>
                </c:pt>
                <c:pt idx="119">
                  <c:v>3.9666666666666668</c:v>
                </c:pt>
                <c:pt idx="120">
                  <c:v>4</c:v>
                </c:pt>
                <c:pt idx="121">
                  <c:v>4.0333333333333332</c:v>
                </c:pt>
                <c:pt idx="122">
                  <c:v>4.0666666666666664</c:v>
                </c:pt>
                <c:pt idx="123">
                  <c:v>4.0999999999999996</c:v>
                </c:pt>
                <c:pt idx="124">
                  <c:v>4.1333333333333329</c:v>
                </c:pt>
                <c:pt idx="125">
                  <c:v>4.166666666666667</c:v>
                </c:pt>
                <c:pt idx="126">
                  <c:v>4.2</c:v>
                </c:pt>
                <c:pt idx="127">
                  <c:v>4.2333333333333334</c:v>
                </c:pt>
                <c:pt idx="128">
                  <c:v>4.2666666666666666</c:v>
                </c:pt>
                <c:pt idx="129">
                  <c:v>4.3</c:v>
                </c:pt>
                <c:pt idx="130">
                  <c:v>4.333333333333333</c:v>
                </c:pt>
                <c:pt idx="131">
                  <c:v>4.3666666666666663</c:v>
                </c:pt>
                <c:pt idx="132">
                  <c:v>4.4000000000000004</c:v>
                </c:pt>
                <c:pt idx="133">
                  <c:v>4.4333333333333336</c:v>
                </c:pt>
                <c:pt idx="134">
                  <c:v>4.4666666666666668</c:v>
                </c:pt>
                <c:pt idx="135">
                  <c:v>4.5</c:v>
                </c:pt>
                <c:pt idx="136">
                  <c:v>4.5333333333333332</c:v>
                </c:pt>
                <c:pt idx="137">
                  <c:v>4.5666666666666664</c:v>
                </c:pt>
                <c:pt idx="138">
                  <c:v>4.5999999999999996</c:v>
                </c:pt>
                <c:pt idx="139">
                  <c:v>4.6333333333333329</c:v>
                </c:pt>
                <c:pt idx="140">
                  <c:v>4.666666666666667</c:v>
                </c:pt>
                <c:pt idx="141">
                  <c:v>4.7</c:v>
                </c:pt>
                <c:pt idx="142">
                  <c:v>4.7333333333333334</c:v>
                </c:pt>
                <c:pt idx="143">
                  <c:v>4.7666666666666666</c:v>
                </c:pt>
                <c:pt idx="144">
                  <c:v>4.8</c:v>
                </c:pt>
                <c:pt idx="145">
                  <c:v>4.833333333333333</c:v>
                </c:pt>
                <c:pt idx="146">
                  <c:v>4.8666666666666663</c:v>
                </c:pt>
                <c:pt idx="147">
                  <c:v>4.9000000000000004</c:v>
                </c:pt>
                <c:pt idx="148">
                  <c:v>4.9333333333333336</c:v>
                </c:pt>
                <c:pt idx="149">
                  <c:v>4.9666666666666668</c:v>
                </c:pt>
                <c:pt idx="150">
                  <c:v>5</c:v>
                </c:pt>
                <c:pt idx="151">
                  <c:v>5.0333333333333332</c:v>
                </c:pt>
                <c:pt idx="152">
                  <c:v>5.0666666666666664</c:v>
                </c:pt>
                <c:pt idx="153">
                  <c:v>5.0999999999999996</c:v>
                </c:pt>
                <c:pt idx="154">
                  <c:v>5.1333333333333329</c:v>
                </c:pt>
                <c:pt idx="155">
                  <c:v>5.166666666666667</c:v>
                </c:pt>
                <c:pt idx="156">
                  <c:v>5.2</c:v>
                </c:pt>
                <c:pt idx="157">
                  <c:v>5.2333333333333334</c:v>
                </c:pt>
                <c:pt idx="158">
                  <c:v>5.2666666666666666</c:v>
                </c:pt>
                <c:pt idx="159">
                  <c:v>5.3</c:v>
                </c:pt>
                <c:pt idx="160">
                  <c:v>5.333333333333333</c:v>
                </c:pt>
                <c:pt idx="161">
                  <c:v>5.3666666666666663</c:v>
                </c:pt>
                <c:pt idx="162">
                  <c:v>5.4</c:v>
                </c:pt>
                <c:pt idx="163">
                  <c:v>5.4333333333333336</c:v>
                </c:pt>
                <c:pt idx="164">
                  <c:v>5.4666666666666668</c:v>
                </c:pt>
                <c:pt idx="165">
                  <c:v>5.5</c:v>
                </c:pt>
                <c:pt idx="166">
                  <c:v>5.5333333333333332</c:v>
                </c:pt>
                <c:pt idx="167">
                  <c:v>5.5666666666666664</c:v>
                </c:pt>
                <c:pt idx="168">
                  <c:v>5.6</c:v>
                </c:pt>
                <c:pt idx="169">
                  <c:v>5.6333333333333329</c:v>
                </c:pt>
                <c:pt idx="170">
                  <c:v>5.666666666666667</c:v>
                </c:pt>
                <c:pt idx="171">
                  <c:v>5.7</c:v>
                </c:pt>
                <c:pt idx="172">
                  <c:v>5.7333333333333334</c:v>
                </c:pt>
                <c:pt idx="173">
                  <c:v>5.7666666666666666</c:v>
                </c:pt>
                <c:pt idx="174">
                  <c:v>5.8</c:v>
                </c:pt>
                <c:pt idx="175">
                  <c:v>5.833333333333333</c:v>
                </c:pt>
                <c:pt idx="176">
                  <c:v>5.8666666666666663</c:v>
                </c:pt>
                <c:pt idx="177">
                  <c:v>5.9</c:v>
                </c:pt>
                <c:pt idx="178">
                  <c:v>5.9333333333333336</c:v>
                </c:pt>
                <c:pt idx="179">
                  <c:v>5.9666666666666668</c:v>
                </c:pt>
                <c:pt idx="180">
                  <c:v>6</c:v>
                </c:pt>
                <c:pt idx="181">
                  <c:v>6.0333333333333332</c:v>
                </c:pt>
                <c:pt idx="182">
                  <c:v>6.0666666666666664</c:v>
                </c:pt>
                <c:pt idx="183">
                  <c:v>6.1</c:v>
                </c:pt>
                <c:pt idx="184">
                  <c:v>6.1333333333333329</c:v>
                </c:pt>
                <c:pt idx="185">
                  <c:v>6.166666666666667</c:v>
                </c:pt>
                <c:pt idx="186">
                  <c:v>6.2</c:v>
                </c:pt>
                <c:pt idx="187">
                  <c:v>6.2333333333333334</c:v>
                </c:pt>
                <c:pt idx="188">
                  <c:v>6.2666666666666666</c:v>
                </c:pt>
                <c:pt idx="189">
                  <c:v>6.3</c:v>
                </c:pt>
                <c:pt idx="190">
                  <c:v>6.333333333333333</c:v>
                </c:pt>
                <c:pt idx="191">
                  <c:v>6.3666666666666663</c:v>
                </c:pt>
                <c:pt idx="192">
                  <c:v>6.4</c:v>
                </c:pt>
                <c:pt idx="193">
                  <c:v>6.4333333333333336</c:v>
                </c:pt>
                <c:pt idx="194">
                  <c:v>6.4666666666666668</c:v>
                </c:pt>
                <c:pt idx="195">
                  <c:v>6.5</c:v>
                </c:pt>
                <c:pt idx="196">
                  <c:v>6.5333333333333332</c:v>
                </c:pt>
                <c:pt idx="197">
                  <c:v>6.5666666666666664</c:v>
                </c:pt>
                <c:pt idx="198">
                  <c:v>6.6</c:v>
                </c:pt>
                <c:pt idx="199">
                  <c:v>6.6333333333333329</c:v>
                </c:pt>
                <c:pt idx="200">
                  <c:v>6.666666666666667</c:v>
                </c:pt>
                <c:pt idx="201">
                  <c:v>6.7</c:v>
                </c:pt>
                <c:pt idx="202">
                  <c:v>6.7333333333333334</c:v>
                </c:pt>
                <c:pt idx="203">
                  <c:v>6.7666666666666666</c:v>
                </c:pt>
                <c:pt idx="204">
                  <c:v>6.8</c:v>
                </c:pt>
                <c:pt idx="205">
                  <c:v>6.833333333333333</c:v>
                </c:pt>
                <c:pt idx="206">
                  <c:v>6.8666666666666663</c:v>
                </c:pt>
                <c:pt idx="207">
                  <c:v>6.8999999999999986</c:v>
                </c:pt>
                <c:pt idx="208">
                  <c:v>6.9333333333333336</c:v>
                </c:pt>
                <c:pt idx="209">
                  <c:v>6.9666666666666668</c:v>
                </c:pt>
                <c:pt idx="210">
                  <c:v>7</c:v>
                </c:pt>
                <c:pt idx="211">
                  <c:v>7.0333333333333332</c:v>
                </c:pt>
                <c:pt idx="212">
                  <c:v>7.0666666666666664</c:v>
                </c:pt>
                <c:pt idx="213">
                  <c:v>7.1</c:v>
                </c:pt>
                <c:pt idx="214">
                  <c:v>7.1333333333333329</c:v>
                </c:pt>
                <c:pt idx="215">
                  <c:v>7.166666666666667</c:v>
                </c:pt>
                <c:pt idx="216">
                  <c:v>7.2</c:v>
                </c:pt>
                <c:pt idx="217">
                  <c:v>7.2333333333333334</c:v>
                </c:pt>
                <c:pt idx="218">
                  <c:v>7.2666666666666666</c:v>
                </c:pt>
                <c:pt idx="219">
                  <c:v>7.3</c:v>
                </c:pt>
                <c:pt idx="220">
                  <c:v>7.333333333333333</c:v>
                </c:pt>
                <c:pt idx="221">
                  <c:v>7.3666666666666663</c:v>
                </c:pt>
                <c:pt idx="222">
                  <c:v>7.3999999999999986</c:v>
                </c:pt>
                <c:pt idx="223">
                  <c:v>7.4333333333333336</c:v>
                </c:pt>
                <c:pt idx="224">
                  <c:v>7.4666666666666668</c:v>
                </c:pt>
                <c:pt idx="225">
                  <c:v>7.5</c:v>
                </c:pt>
                <c:pt idx="226">
                  <c:v>7.5333333333333332</c:v>
                </c:pt>
                <c:pt idx="227">
                  <c:v>7.5666666666666664</c:v>
                </c:pt>
                <c:pt idx="228">
                  <c:v>7.6</c:v>
                </c:pt>
                <c:pt idx="229">
                  <c:v>7.6333333333333329</c:v>
                </c:pt>
                <c:pt idx="230">
                  <c:v>7.666666666666667</c:v>
                </c:pt>
                <c:pt idx="231">
                  <c:v>7.7</c:v>
                </c:pt>
                <c:pt idx="232">
                  <c:v>7.7333333333333334</c:v>
                </c:pt>
                <c:pt idx="233">
                  <c:v>7.7666666666666666</c:v>
                </c:pt>
                <c:pt idx="234">
                  <c:v>7.8</c:v>
                </c:pt>
                <c:pt idx="235">
                  <c:v>7.833333333333333</c:v>
                </c:pt>
                <c:pt idx="236">
                  <c:v>7.8666666666666663</c:v>
                </c:pt>
                <c:pt idx="237">
                  <c:v>7.8999999999999986</c:v>
                </c:pt>
                <c:pt idx="238">
                  <c:v>7.9333333333333336</c:v>
                </c:pt>
                <c:pt idx="239">
                  <c:v>7.9666666666666668</c:v>
                </c:pt>
                <c:pt idx="240">
                  <c:v>8</c:v>
                </c:pt>
                <c:pt idx="241">
                  <c:v>8.0333333333333332</c:v>
                </c:pt>
                <c:pt idx="242">
                  <c:v>8.0666666666666664</c:v>
                </c:pt>
                <c:pt idx="243">
                  <c:v>8.1</c:v>
                </c:pt>
                <c:pt idx="244">
                  <c:v>8.1333333333333329</c:v>
                </c:pt>
                <c:pt idx="245">
                  <c:v>8.1666666666666661</c:v>
                </c:pt>
                <c:pt idx="246">
                  <c:v>8.1999999999999993</c:v>
                </c:pt>
                <c:pt idx="247">
                  <c:v>8.2333333333333325</c:v>
                </c:pt>
                <c:pt idx="248">
                  <c:v>8.2666666666666657</c:v>
                </c:pt>
                <c:pt idx="249">
                  <c:v>8.3000000000000007</c:v>
                </c:pt>
                <c:pt idx="250">
                  <c:v>8.3333333333333339</c:v>
                </c:pt>
                <c:pt idx="251">
                  <c:v>8.3666666666666671</c:v>
                </c:pt>
                <c:pt idx="252">
                  <c:v>8.4</c:v>
                </c:pt>
                <c:pt idx="253">
                  <c:v>8.4333333333333336</c:v>
                </c:pt>
                <c:pt idx="254">
                  <c:v>8.4666666666666668</c:v>
                </c:pt>
                <c:pt idx="255">
                  <c:v>8.5</c:v>
                </c:pt>
                <c:pt idx="256">
                  <c:v>8.5333333333333332</c:v>
                </c:pt>
                <c:pt idx="257">
                  <c:v>8.5666666666666664</c:v>
                </c:pt>
                <c:pt idx="258">
                  <c:v>8.6</c:v>
                </c:pt>
                <c:pt idx="259">
                  <c:v>8.6333333333333329</c:v>
                </c:pt>
                <c:pt idx="260">
                  <c:v>8.6666666666666661</c:v>
                </c:pt>
                <c:pt idx="261">
                  <c:v>8.6999999999999993</c:v>
                </c:pt>
                <c:pt idx="262">
                  <c:v>8.7333333333333325</c:v>
                </c:pt>
                <c:pt idx="263">
                  <c:v>8.7666666666666657</c:v>
                </c:pt>
                <c:pt idx="264">
                  <c:v>8.8000000000000007</c:v>
                </c:pt>
                <c:pt idx="265">
                  <c:v>8.8333333333333339</c:v>
                </c:pt>
                <c:pt idx="266">
                  <c:v>8.8666666666666671</c:v>
                </c:pt>
                <c:pt idx="267">
                  <c:v>8.9</c:v>
                </c:pt>
                <c:pt idx="268">
                  <c:v>8.9333333333333336</c:v>
                </c:pt>
                <c:pt idx="269">
                  <c:v>8.9666666666666668</c:v>
                </c:pt>
                <c:pt idx="270">
                  <c:v>9</c:v>
                </c:pt>
                <c:pt idx="271">
                  <c:v>9.0333333333333332</c:v>
                </c:pt>
                <c:pt idx="272">
                  <c:v>9.0666666666666664</c:v>
                </c:pt>
                <c:pt idx="273">
                  <c:v>9.1</c:v>
                </c:pt>
                <c:pt idx="274">
                  <c:v>9.1333333333333329</c:v>
                </c:pt>
                <c:pt idx="275">
                  <c:v>9.1666666666666661</c:v>
                </c:pt>
                <c:pt idx="276">
                  <c:v>9.1999999999999993</c:v>
                </c:pt>
                <c:pt idx="277">
                  <c:v>9.2333333333333325</c:v>
                </c:pt>
                <c:pt idx="278">
                  <c:v>9.2666666666666657</c:v>
                </c:pt>
                <c:pt idx="279">
                  <c:v>9.3000000000000007</c:v>
                </c:pt>
                <c:pt idx="280">
                  <c:v>9.3333333333333339</c:v>
                </c:pt>
                <c:pt idx="281">
                  <c:v>9.3666666666666671</c:v>
                </c:pt>
                <c:pt idx="282">
                  <c:v>9.4</c:v>
                </c:pt>
                <c:pt idx="283">
                  <c:v>9.4333333333333336</c:v>
                </c:pt>
                <c:pt idx="284">
                  <c:v>9.4666666666666668</c:v>
                </c:pt>
                <c:pt idx="285">
                  <c:v>9.5</c:v>
                </c:pt>
                <c:pt idx="286">
                  <c:v>9.5333333333333332</c:v>
                </c:pt>
                <c:pt idx="287">
                  <c:v>9.5666666666666664</c:v>
                </c:pt>
                <c:pt idx="288">
                  <c:v>9.6</c:v>
                </c:pt>
                <c:pt idx="289">
                  <c:v>9.6333333333333329</c:v>
                </c:pt>
                <c:pt idx="290">
                  <c:v>9.6666666666666661</c:v>
                </c:pt>
                <c:pt idx="291">
                  <c:v>9.6999999999999993</c:v>
                </c:pt>
              </c:numCache>
            </c:numRef>
          </c:xVal>
          <c:yVal>
            <c:numRef>
              <c:f>'att9'!$D$2:$D$293</c:f>
              <c:numCache>
                <c:formatCode>General</c:formatCode>
                <c:ptCount val="292"/>
                <c:pt idx="0">
                  <c:v>25.17048474269691</c:v>
                </c:pt>
                <c:pt idx="1">
                  <c:v>26.92138733256941</c:v>
                </c:pt>
                <c:pt idx="2">
                  <c:v>26.888620350808061</c:v>
                </c:pt>
                <c:pt idx="3">
                  <c:v>30.815286867894638</c:v>
                </c:pt>
                <c:pt idx="4">
                  <c:v>32.763867056368518</c:v>
                </c:pt>
                <c:pt idx="5">
                  <c:v>32.767598270229222</c:v>
                </c:pt>
                <c:pt idx="6">
                  <c:v>36.544166464024663</c:v>
                </c:pt>
                <c:pt idx="7">
                  <c:v>38.345188396342543</c:v>
                </c:pt>
                <c:pt idx="8">
                  <c:v>38.345188396342543</c:v>
                </c:pt>
                <c:pt idx="9">
                  <c:v>42.100025201290293</c:v>
                </c:pt>
                <c:pt idx="10">
                  <c:v>44.014397515199981</c:v>
                </c:pt>
                <c:pt idx="11">
                  <c:v>44.009527460069663</c:v>
                </c:pt>
                <c:pt idx="12">
                  <c:v>47.707109654035563</c:v>
                </c:pt>
                <c:pt idx="13">
                  <c:v>49.508824127180247</c:v>
                </c:pt>
                <c:pt idx="14">
                  <c:v>49.512763072092447</c:v>
                </c:pt>
                <c:pt idx="15">
                  <c:v>53.100506215899642</c:v>
                </c:pt>
                <c:pt idx="16">
                  <c:v>33.426031614207197</c:v>
                </c:pt>
                <c:pt idx="17">
                  <c:v>33.426031614207197</c:v>
                </c:pt>
                <c:pt idx="18">
                  <c:v>52.29626399177986</c:v>
                </c:pt>
                <c:pt idx="19">
                  <c:v>54.724797538777118</c:v>
                </c:pt>
                <c:pt idx="20">
                  <c:v>44.731319690584733</c:v>
                </c:pt>
                <c:pt idx="21">
                  <c:v>64.331076551032979</c:v>
                </c:pt>
                <c:pt idx="22">
                  <c:v>66.217956800147817</c:v>
                </c:pt>
                <c:pt idx="23">
                  <c:v>66.21125131332542</c:v>
                </c:pt>
                <c:pt idx="24">
                  <c:v>69.927459384023393</c:v>
                </c:pt>
                <c:pt idx="25">
                  <c:v>71.806496470611251</c:v>
                </c:pt>
                <c:pt idx="26">
                  <c:v>71.812602656732508</c:v>
                </c:pt>
                <c:pt idx="27">
                  <c:v>75.469134171074813</c:v>
                </c:pt>
                <c:pt idx="28">
                  <c:v>77.325600608284418</c:v>
                </c:pt>
                <c:pt idx="29">
                  <c:v>77.311217738395044</c:v>
                </c:pt>
                <c:pt idx="30">
                  <c:v>81.020679967755342</c:v>
                </c:pt>
                <c:pt idx="31">
                  <c:v>82.838481363784624</c:v>
                </c:pt>
                <c:pt idx="32">
                  <c:v>82.838481363784624</c:v>
                </c:pt>
                <c:pt idx="33">
                  <c:v>86.479865218418354</c:v>
                </c:pt>
                <c:pt idx="34">
                  <c:v>88.545445558278004</c:v>
                </c:pt>
                <c:pt idx="35">
                  <c:v>88.545445558278004</c:v>
                </c:pt>
                <c:pt idx="36">
                  <c:v>91.815744532993151</c:v>
                </c:pt>
                <c:pt idx="37">
                  <c:v>93.722113133304916</c:v>
                </c:pt>
                <c:pt idx="38">
                  <c:v>93.722113133304916</c:v>
                </c:pt>
                <c:pt idx="39">
                  <c:v>97.351294059785886</c:v>
                </c:pt>
                <c:pt idx="40">
                  <c:v>99.282830869538287</c:v>
                </c:pt>
                <c:pt idx="41">
                  <c:v>99.277412711431879</c:v>
                </c:pt>
                <c:pt idx="42">
                  <c:v>102.8730291877492</c:v>
                </c:pt>
                <c:pt idx="43">
                  <c:v>104.6821709024682</c:v>
                </c:pt>
                <c:pt idx="44">
                  <c:v>104.6821709024682</c:v>
                </c:pt>
                <c:pt idx="45">
                  <c:v>108.3852424403667</c:v>
                </c:pt>
                <c:pt idx="46">
                  <c:v>110.2528718793064</c:v>
                </c:pt>
                <c:pt idx="47">
                  <c:v>110.2513678559386</c:v>
                </c:pt>
                <c:pt idx="48">
                  <c:v>113.95847416028759</c:v>
                </c:pt>
                <c:pt idx="49">
                  <c:v>115.8362148871707</c:v>
                </c:pt>
                <c:pt idx="50">
                  <c:v>115.8362148871707</c:v>
                </c:pt>
                <c:pt idx="51">
                  <c:v>119.4961512264853</c:v>
                </c:pt>
                <c:pt idx="52">
                  <c:v>121.3092131736137</c:v>
                </c:pt>
                <c:pt idx="53">
                  <c:v>121.3092131736137</c:v>
                </c:pt>
                <c:pt idx="54">
                  <c:v>124.9122964953539</c:v>
                </c:pt>
                <c:pt idx="55">
                  <c:v>126.7338514370831</c:v>
                </c:pt>
                <c:pt idx="56">
                  <c:v>126.7338514370831</c:v>
                </c:pt>
                <c:pt idx="57">
                  <c:v>130.25807263508759</c:v>
                </c:pt>
                <c:pt idx="58">
                  <c:v>132.19380229549409</c:v>
                </c:pt>
                <c:pt idx="59">
                  <c:v>132.19380229549409</c:v>
                </c:pt>
                <c:pt idx="60">
                  <c:v>135.70923989606621</c:v>
                </c:pt>
                <c:pt idx="61">
                  <c:v>137.31032523326701</c:v>
                </c:pt>
                <c:pt idx="62">
                  <c:v>137.36996681512679</c:v>
                </c:pt>
                <c:pt idx="63">
                  <c:v>140.8198804477166</c:v>
                </c:pt>
                <c:pt idx="64">
                  <c:v>142.50037314733379</c:v>
                </c:pt>
                <c:pt idx="65">
                  <c:v>142.6062438472585</c:v>
                </c:pt>
                <c:pt idx="66">
                  <c:v>146.11320080121041</c:v>
                </c:pt>
                <c:pt idx="67">
                  <c:v>147.8733234019324</c:v>
                </c:pt>
                <c:pt idx="68">
                  <c:v>147.84865364453259</c:v>
                </c:pt>
                <c:pt idx="69">
                  <c:v>151.29309891735321</c:v>
                </c:pt>
                <c:pt idx="70">
                  <c:v>153.1723559044184</c:v>
                </c:pt>
                <c:pt idx="71">
                  <c:v>153.1723559044184</c:v>
                </c:pt>
                <c:pt idx="72">
                  <c:v>156.54362063334301</c:v>
                </c:pt>
                <c:pt idx="73">
                  <c:v>158.2627394719886</c:v>
                </c:pt>
                <c:pt idx="74">
                  <c:v>158.2627394719886</c:v>
                </c:pt>
                <c:pt idx="75">
                  <c:v>161.95891185171979</c:v>
                </c:pt>
                <c:pt idx="82">
                  <c:v>174.3004545447323</c:v>
                </c:pt>
                <c:pt idx="83">
                  <c:v>174.25617288792131</c:v>
                </c:pt>
                <c:pt idx="84">
                  <c:v>178.05409592266039</c:v>
                </c:pt>
                <c:pt idx="85">
                  <c:v>179.49644748104311</c:v>
                </c:pt>
                <c:pt idx="86">
                  <c:v>179.49644748104311</c:v>
                </c:pt>
                <c:pt idx="87">
                  <c:v>182.9237574547179</c:v>
                </c:pt>
                <c:pt idx="88">
                  <c:v>185.234380338242</c:v>
                </c:pt>
                <c:pt idx="89">
                  <c:v>185.20775104237259</c:v>
                </c:pt>
                <c:pt idx="90">
                  <c:v>188.48657195757269</c:v>
                </c:pt>
                <c:pt idx="91">
                  <c:v>190.05731501877079</c:v>
                </c:pt>
                <c:pt idx="92">
                  <c:v>190.05731501877079</c:v>
                </c:pt>
                <c:pt idx="93">
                  <c:v>193.85356767581041</c:v>
                </c:pt>
                <c:pt idx="94">
                  <c:v>195.56272540350011</c:v>
                </c:pt>
                <c:pt idx="95">
                  <c:v>195.58543696671279</c:v>
                </c:pt>
                <c:pt idx="96">
                  <c:v>199.56081718065329</c:v>
                </c:pt>
                <c:pt idx="97">
                  <c:v>201.30429059047671</c:v>
                </c:pt>
                <c:pt idx="98">
                  <c:v>201.33123909189499</c:v>
                </c:pt>
                <c:pt idx="99">
                  <c:v>204.87542025090019</c:v>
                </c:pt>
                <c:pt idx="100">
                  <c:v>206.9805504274531</c:v>
                </c:pt>
                <c:pt idx="101">
                  <c:v>206.9805504274531</c:v>
                </c:pt>
                <c:pt idx="102">
                  <c:v>210.31584615740559</c:v>
                </c:pt>
                <c:pt idx="103">
                  <c:v>212.21912607881151</c:v>
                </c:pt>
                <c:pt idx="104">
                  <c:v>212.21912607881151</c:v>
                </c:pt>
                <c:pt idx="105">
                  <c:v>216.47163040501229</c:v>
                </c:pt>
                <c:pt idx="106">
                  <c:v>217.75016945160459</c:v>
                </c:pt>
                <c:pt idx="107">
                  <c:v>217.7300601422096</c:v>
                </c:pt>
                <c:pt idx="108">
                  <c:v>221.52858081736639</c:v>
                </c:pt>
                <c:pt idx="109">
                  <c:v>223.63674195169199</c:v>
                </c:pt>
                <c:pt idx="110">
                  <c:v>223.63674195169199</c:v>
                </c:pt>
                <c:pt idx="111">
                  <c:v>227.10376632983889</c:v>
                </c:pt>
                <c:pt idx="112">
                  <c:v>229.4998534561052</c:v>
                </c:pt>
                <c:pt idx="113">
                  <c:v>229.52343837526189</c:v>
                </c:pt>
                <c:pt idx="114">
                  <c:v>233.43715927828708</c:v>
                </c:pt>
                <c:pt idx="115">
                  <c:v>236.005818820683</c:v>
                </c:pt>
                <c:pt idx="116">
                  <c:v>236.0208458774471</c:v>
                </c:pt>
                <c:pt idx="117">
                  <c:v>239.8413198286033</c:v>
                </c:pt>
                <c:pt idx="118">
                  <c:v>243.23444893614271</c:v>
                </c:pt>
                <c:pt idx="119">
                  <c:v>243.23444893614271</c:v>
                </c:pt>
                <c:pt idx="163">
                  <c:v>328.60936905798155</c:v>
                </c:pt>
                <c:pt idx="164">
                  <c:v>328.60936905798155</c:v>
                </c:pt>
                <c:pt idx="165">
                  <c:v>334.41387108087167</c:v>
                </c:pt>
                <c:pt idx="166">
                  <c:v>336.69338333344439</c:v>
                </c:pt>
                <c:pt idx="167">
                  <c:v>336.69338333344439</c:v>
                </c:pt>
                <c:pt idx="168">
                  <c:v>340.12456220894489</c:v>
                </c:pt>
                <c:pt idx="169">
                  <c:v>341.89077478318052</c:v>
                </c:pt>
                <c:pt idx="170">
                  <c:v>341.89077478318052</c:v>
                </c:pt>
                <c:pt idx="171">
                  <c:v>346.93217153768302</c:v>
                </c:pt>
                <c:pt idx="172">
                  <c:v>347.1680781811221</c:v>
                </c:pt>
                <c:pt idx="173">
                  <c:v>347.1283300076658</c:v>
                </c:pt>
                <c:pt idx="175">
                  <c:v>354.68024580745174</c:v>
                </c:pt>
                <c:pt idx="176">
                  <c:v>354.68024580745174</c:v>
                </c:pt>
                <c:pt idx="177">
                  <c:v>359.23107278217827</c:v>
                </c:pt>
                <c:pt idx="180">
                  <c:v>364.71763343088526</c:v>
                </c:pt>
                <c:pt idx="181">
                  <c:v>366.54340120329897</c:v>
                </c:pt>
                <c:pt idx="182">
                  <c:v>366.57477236813924</c:v>
                </c:pt>
                <c:pt idx="183">
                  <c:v>370.67756967899891</c:v>
                </c:pt>
                <c:pt idx="184">
                  <c:v>372.64571423778585</c:v>
                </c:pt>
                <c:pt idx="185">
                  <c:v>372.64571423778585</c:v>
                </c:pt>
                <c:pt idx="186">
                  <c:v>376.53144715902044</c:v>
                </c:pt>
                <c:pt idx="187">
                  <c:v>378.47191903978995</c:v>
                </c:pt>
                <c:pt idx="188">
                  <c:v>378.47191903978995</c:v>
                </c:pt>
                <c:pt idx="189">
                  <c:v>382.30938272608165</c:v>
                </c:pt>
                <c:pt idx="190">
                  <c:v>384.18386698865896</c:v>
                </c:pt>
                <c:pt idx="191">
                  <c:v>384.18386698865896</c:v>
                </c:pt>
                <c:pt idx="192">
                  <c:v>388.02668219849841</c:v>
                </c:pt>
                <c:pt idx="193">
                  <c:v>389.90262361621848</c:v>
                </c:pt>
                <c:pt idx="194">
                  <c:v>389.90262361621848</c:v>
                </c:pt>
                <c:pt idx="195">
                  <c:v>393.6503146584493</c:v>
                </c:pt>
                <c:pt idx="196">
                  <c:v>395.56477444338151</c:v>
                </c:pt>
                <c:pt idx="197">
                  <c:v>395.56152625863803</c:v>
                </c:pt>
                <c:pt idx="198">
                  <c:v>399.33963243413154</c:v>
                </c:pt>
                <c:pt idx="199">
                  <c:v>401.24179595864177</c:v>
                </c:pt>
                <c:pt idx="200">
                  <c:v>401.24179595864177</c:v>
                </c:pt>
                <c:pt idx="201">
                  <c:v>404.87722866727984</c:v>
                </c:pt>
                <c:pt idx="202">
                  <c:v>406.72233957129794</c:v>
                </c:pt>
                <c:pt idx="203">
                  <c:v>406.72233957129794</c:v>
                </c:pt>
                <c:pt idx="204">
                  <c:v>410.39176765658112</c:v>
                </c:pt>
                <c:pt idx="205">
                  <c:v>412.1796809255589</c:v>
                </c:pt>
                <c:pt idx="206">
                  <c:v>412.1796809255589</c:v>
                </c:pt>
                <c:pt idx="207">
                  <c:v>415.91533113121034</c:v>
                </c:pt>
                <c:pt idx="208">
                  <c:v>417.75826752840686</c:v>
                </c:pt>
                <c:pt idx="209">
                  <c:v>417.78421650436002</c:v>
                </c:pt>
                <c:pt idx="210">
                  <c:v>421.54690074000604</c:v>
                </c:pt>
                <c:pt idx="211">
                  <c:v>420.77545630669135</c:v>
                </c:pt>
                <c:pt idx="212">
                  <c:v>420.77545630669135</c:v>
                </c:pt>
                <c:pt idx="213">
                  <c:v>427.08229082428232</c:v>
                </c:pt>
                <c:pt idx="214">
                  <c:v>428.94510339647377</c:v>
                </c:pt>
                <c:pt idx="215">
                  <c:v>428.94510339647377</c:v>
                </c:pt>
                <c:pt idx="216">
                  <c:v>432.67861279198593</c:v>
                </c:pt>
                <c:pt idx="217">
                  <c:v>434.50738727157449</c:v>
                </c:pt>
                <c:pt idx="218">
                  <c:v>434.52590764522506</c:v>
                </c:pt>
                <c:pt idx="219">
                  <c:v>438.18725149244187</c:v>
                </c:pt>
                <c:pt idx="220">
                  <c:v>440.00148785900183</c:v>
                </c:pt>
                <c:pt idx="221">
                  <c:v>440.00148785900183</c:v>
                </c:pt>
                <c:pt idx="222">
                  <c:v>443.68033114288551</c:v>
                </c:pt>
                <c:pt idx="223">
                  <c:v>445.59737201302465</c:v>
                </c:pt>
                <c:pt idx="224">
                  <c:v>445.58772220857639</c:v>
                </c:pt>
                <c:pt idx="225">
                  <c:v>449.37727581933177</c:v>
                </c:pt>
                <c:pt idx="226">
                  <c:v>450.82050632718341</c:v>
                </c:pt>
                <c:pt idx="227">
                  <c:v>450.82050632718341</c:v>
                </c:pt>
                <c:pt idx="228">
                  <c:v>454.70447485885228</c:v>
                </c:pt>
                <c:pt idx="229">
                  <c:v>456.56529789885911</c:v>
                </c:pt>
                <c:pt idx="230">
                  <c:v>456.56529789885911</c:v>
                </c:pt>
                <c:pt idx="231">
                  <c:v>460.13275256044381</c:v>
                </c:pt>
                <c:pt idx="232">
                  <c:v>461.98587250564339</c:v>
                </c:pt>
                <c:pt idx="233">
                  <c:v>461.98587250564339</c:v>
                </c:pt>
                <c:pt idx="234">
                  <c:v>465.59820680977731</c:v>
                </c:pt>
                <c:pt idx="235">
                  <c:v>467.42001380429059</c:v>
                </c:pt>
                <c:pt idx="236">
                  <c:v>467.42001380429059</c:v>
                </c:pt>
                <c:pt idx="237">
                  <c:v>471.18580343917398</c:v>
                </c:pt>
                <c:pt idx="238">
                  <c:v>472.96074496806898</c:v>
                </c:pt>
                <c:pt idx="239">
                  <c:v>472.96074496806898</c:v>
                </c:pt>
                <c:pt idx="240">
                  <c:v>476.73985257632188</c:v>
                </c:pt>
                <c:pt idx="241">
                  <c:v>478.53371138779829</c:v>
                </c:pt>
                <c:pt idx="242">
                  <c:v>478.53371138779829</c:v>
                </c:pt>
                <c:pt idx="243">
                  <c:v>482.31911434102938</c:v>
                </c:pt>
                <c:pt idx="244">
                  <c:v>483.97622011425221</c:v>
                </c:pt>
                <c:pt idx="245">
                  <c:v>483.96738245806631</c:v>
                </c:pt>
                <c:pt idx="246">
                  <c:v>487.40677118033489</c:v>
                </c:pt>
                <c:pt idx="247">
                  <c:v>489.39454751111214</c:v>
                </c:pt>
                <c:pt idx="248">
                  <c:v>489.40829314514059</c:v>
                </c:pt>
                <c:pt idx="249">
                  <c:v>492.73047625136229</c:v>
                </c:pt>
                <c:pt idx="250">
                  <c:v>494.59153554586692</c:v>
                </c:pt>
                <c:pt idx="251">
                  <c:v>494.59153554586692</c:v>
                </c:pt>
                <c:pt idx="252">
                  <c:v>497.99957012695552</c:v>
                </c:pt>
                <c:pt idx="253">
                  <c:v>499.87626432862282</c:v>
                </c:pt>
                <c:pt idx="254">
                  <c:v>499.96439760997839</c:v>
                </c:pt>
                <c:pt idx="255">
                  <c:v>503.13036329119791</c:v>
                </c:pt>
                <c:pt idx="256">
                  <c:v>505.23383758117529</c:v>
                </c:pt>
                <c:pt idx="257">
                  <c:v>505.23383758117529</c:v>
                </c:pt>
                <c:pt idx="258">
                  <c:v>508.53504045162521</c:v>
                </c:pt>
                <c:pt idx="259">
                  <c:v>510.17234266933411</c:v>
                </c:pt>
                <c:pt idx="260">
                  <c:v>510.1946409288181</c:v>
                </c:pt>
                <c:pt idx="261">
                  <c:v>513.72534248339571</c:v>
                </c:pt>
                <c:pt idx="262">
                  <c:v>515.54870645946369</c:v>
                </c:pt>
                <c:pt idx="263">
                  <c:v>515.54870645946369</c:v>
                </c:pt>
                <c:pt idx="264">
                  <c:v>519.03651253509406</c:v>
                </c:pt>
                <c:pt idx="265">
                  <c:v>520.94508451943716</c:v>
                </c:pt>
                <c:pt idx="266">
                  <c:v>520.90377683408531</c:v>
                </c:pt>
                <c:pt idx="267">
                  <c:v>524.47752426617069</c:v>
                </c:pt>
                <c:pt idx="268">
                  <c:v>526.29930364420238</c:v>
                </c:pt>
                <c:pt idx="269">
                  <c:v>526.29930364420238</c:v>
                </c:pt>
                <c:pt idx="271">
                  <c:v>531.51940393737311</c:v>
                </c:pt>
                <c:pt idx="272">
                  <c:v>531.47854852300031</c:v>
                </c:pt>
                <c:pt idx="274">
                  <c:v>537.46972116088216</c:v>
                </c:pt>
                <c:pt idx="276">
                  <c:v>540.3614908306638</c:v>
                </c:pt>
                <c:pt idx="277">
                  <c:v>542.16905230057409</c:v>
                </c:pt>
                <c:pt idx="278">
                  <c:v>542.18216824198453</c:v>
                </c:pt>
                <c:pt idx="279">
                  <c:v>545.90742549618585</c:v>
                </c:pt>
                <c:pt idx="280">
                  <c:v>547.48252567567783</c:v>
                </c:pt>
                <c:pt idx="281">
                  <c:v>547.49860054647229</c:v>
                </c:pt>
                <c:pt idx="282">
                  <c:v>550.97477674318839</c:v>
                </c:pt>
                <c:pt idx="283">
                  <c:v>552.86311203084426</c:v>
                </c:pt>
                <c:pt idx="284">
                  <c:v>552.92921743775753</c:v>
                </c:pt>
                <c:pt idx="285">
                  <c:v>556.35530390909128</c:v>
                </c:pt>
                <c:pt idx="286">
                  <c:v>558.44660698982648</c:v>
                </c:pt>
                <c:pt idx="287">
                  <c:v>558.41776863424752</c:v>
                </c:pt>
                <c:pt idx="288">
                  <c:v>561.9574718291824</c:v>
                </c:pt>
                <c:pt idx="289">
                  <c:v>563.61310831361038</c:v>
                </c:pt>
                <c:pt idx="290">
                  <c:v>563.66634511595134</c:v>
                </c:pt>
                <c:pt idx="291">
                  <c:v>567.42854987296005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DC-46AA-B157-27A29BC20B2A}"/>
            </c:ext>
          </c:extLst>
        </c:ser>
        <c:ser>
          <c:idx val="1"/>
          <c:order val="1"/>
          <c:tx>
            <c:strRef>
              <c:f>'att9'!$I$1</c:f>
              <c:strCache>
                <c:ptCount val="1"/>
                <c:pt idx="0">
                  <c:v>prediction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'att9'!$A$2:$A$293</c:f>
              <c:numCache>
                <c:formatCode>General</c:formatCode>
                <c:ptCount val="292"/>
                <c:pt idx="0">
                  <c:v>0</c:v>
                </c:pt>
                <c:pt idx="1">
                  <c:v>3.3333333333333333E-2</c:v>
                </c:pt>
                <c:pt idx="2">
                  <c:v>6.6666666666666666E-2</c:v>
                </c:pt>
                <c:pt idx="3">
                  <c:v>0.1</c:v>
                </c:pt>
                <c:pt idx="4">
                  <c:v>0.1333333333333333</c:v>
                </c:pt>
                <c:pt idx="5">
                  <c:v>0.16666666666666671</c:v>
                </c:pt>
                <c:pt idx="6">
                  <c:v>0.2</c:v>
                </c:pt>
                <c:pt idx="7">
                  <c:v>0.23333333333333331</c:v>
                </c:pt>
                <c:pt idx="8">
                  <c:v>0.26666666666666672</c:v>
                </c:pt>
                <c:pt idx="9">
                  <c:v>0.3</c:v>
                </c:pt>
                <c:pt idx="10">
                  <c:v>0.33333333333333331</c:v>
                </c:pt>
                <c:pt idx="11">
                  <c:v>0.36666666666666659</c:v>
                </c:pt>
                <c:pt idx="12">
                  <c:v>0.4</c:v>
                </c:pt>
                <c:pt idx="13">
                  <c:v>0.43333333333333329</c:v>
                </c:pt>
                <c:pt idx="14">
                  <c:v>0.46666666666666667</c:v>
                </c:pt>
                <c:pt idx="15">
                  <c:v>0.5</c:v>
                </c:pt>
                <c:pt idx="16">
                  <c:v>0.53333333333333333</c:v>
                </c:pt>
                <c:pt idx="17">
                  <c:v>0.56666666666666665</c:v>
                </c:pt>
                <c:pt idx="18">
                  <c:v>0.6</c:v>
                </c:pt>
                <c:pt idx="19">
                  <c:v>0.6333333333333333</c:v>
                </c:pt>
                <c:pt idx="20">
                  <c:v>0.66666666666666663</c:v>
                </c:pt>
                <c:pt idx="21">
                  <c:v>0.7</c:v>
                </c:pt>
                <c:pt idx="22">
                  <c:v>0.73333333333333328</c:v>
                </c:pt>
                <c:pt idx="23">
                  <c:v>0.76666666666666661</c:v>
                </c:pt>
                <c:pt idx="24">
                  <c:v>0.8</c:v>
                </c:pt>
                <c:pt idx="25">
                  <c:v>0.83333333333333337</c:v>
                </c:pt>
                <c:pt idx="26">
                  <c:v>0.8666666666666667</c:v>
                </c:pt>
                <c:pt idx="27">
                  <c:v>0.9</c:v>
                </c:pt>
                <c:pt idx="28">
                  <c:v>0.93333333333333335</c:v>
                </c:pt>
                <c:pt idx="29">
                  <c:v>0.96666666666666667</c:v>
                </c:pt>
                <c:pt idx="30">
                  <c:v>1</c:v>
                </c:pt>
                <c:pt idx="31">
                  <c:v>1.033333333333333</c:v>
                </c:pt>
                <c:pt idx="32">
                  <c:v>1.0666666666666671</c:v>
                </c:pt>
                <c:pt idx="33">
                  <c:v>1.1000000000000001</c:v>
                </c:pt>
                <c:pt idx="34">
                  <c:v>1.1333333333333331</c:v>
                </c:pt>
                <c:pt idx="35">
                  <c:v>1.166666666666667</c:v>
                </c:pt>
                <c:pt idx="36">
                  <c:v>1.2</c:v>
                </c:pt>
                <c:pt idx="37">
                  <c:v>1.2333333333333329</c:v>
                </c:pt>
                <c:pt idx="38">
                  <c:v>1.2666666666666671</c:v>
                </c:pt>
                <c:pt idx="39">
                  <c:v>1.3</c:v>
                </c:pt>
                <c:pt idx="40">
                  <c:v>1.333333333333333</c:v>
                </c:pt>
                <c:pt idx="41">
                  <c:v>1.3666666666666669</c:v>
                </c:pt>
                <c:pt idx="42">
                  <c:v>1.4</c:v>
                </c:pt>
                <c:pt idx="43">
                  <c:v>1.4333333333333329</c:v>
                </c:pt>
                <c:pt idx="44">
                  <c:v>1.466666666666667</c:v>
                </c:pt>
                <c:pt idx="45">
                  <c:v>1.5</c:v>
                </c:pt>
                <c:pt idx="46">
                  <c:v>1.533333333333333</c:v>
                </c:pt>
                <c:pt idx="47">
                  <c:v>1.5666666666666671</c:v>
                </c:pt>
                <c:pt idx="48">
                  <c:v>1.6</c:v>
                </c:pt>
                <c:pt idx="49">
                  <c:v>1.6333333333333331</c:v>
                </c:pt>
                <c:pt idx="50">
                  <c:v>1.666666666666667</c:v>
                </c:pt>
                <c:pt idx="51">
                  <c:v>1.7</c:v>
                </c:pt>
                <c:pt idx="52">
                  <c:v>1.7333333333333329</c:v>
                </c:pt>
                <c:pt idx="53">
                  <c:v>1.7666666666666671</c:v>
                </c:pt>
                <c:pt idx="54">
                  <c:v>1.8</c:v>
                </c:pt>
                <c:pt idx="55">
                  <c:v>1.833333333333333</c:v>
                </c:pt>
                <c:pt idx="56">
                  <c:v>1.8666666666666669</c:v>
                </c:pt>
                <c:pt idx="57">
                  <c:v>1.9</c:v>
                </c:pt>
                <c:pt idx="58">
                  <c:v>1.9333333333333329</c:v>
                </c:pt>
                <c:pt idx="59">
                  <c:v>1.966666666666667</c:v>
                </c:pt>
                <c:pt idx="60">
                  <c:v>2</c:v>
                </c:pt>
                <c:pt idx="61">
                  <c:v>2.0333333333333332</c:v>
                </c:pt>
                <c:pt idx="62">
                  <c:v>2.066666666666666</c:v>
                </c:pt>
                <c:pt idx="63">
                  <c:v>2.1</c:v>
                </c:pt>
                <c:pt idx="64">
                  <c:v>2.1333333333333329</c:v>
                </c:pt>
                <c:pt idx="65">
                  <c:v>2.166666666666667</c:v>
                </c:pt>
                <c:pt idx="66">
                  <c:v>2.2000000000000002</c:v>
                </c:pt>
                <c:pt idx="67">
                  <c:v>2.2333333333333329</c:v>
                </c:pt>
                <c:pt idx="68">
                  <c:v>2.2666666666666671</c:v>
                </c:pt>
                <c:pt idx="69">
                  <c:v>2.2999999999999998</c:v>
                </c:pt>
                <c:pt idx="70">
                  <c:v>2.333333333333333</c:v>
                </c:pt>
                <c:pt idx="71">
                  <c:v>2.3666666666666671</c:v>
                </c:pt>
                <c:pt idx="72">
                  <c:v>2.4</c:v>
                </c:pt>
                <c:pt idx="73">
                  <c:v>2.4333333333333331</c:v>
                </c:pt>
                <c:pt idx="74">
                  <c:v>2.4666666666666668</c:v>
                </c:pt>
                <c:pt idx="75">
                  <c:v>2.5</c:v>
                </c:pt>
                <c:pt idx="76">
                  <c:v>2.5333333333333332</c:v>
                </c:pt>
                <c:pt idx="77">
                  <c:v>2.566666666666666</c:v>
                </c:pt>
                <c:pt idx="78">
                  <c:v>2.6</c:v>
                </c:pt>
                <c:pt idx="79">
                  <c:v>2.6333333333333329</c:v>
                </c:pt>
                <c:pt idx="80">
                  <c:v>2.666666666666667</c:v>
                </c:pt>
                <c:pt idx="81">
                  <c:v>2.7</c:v>
                </c:pt>
                <c:pt idx="82">
                  <c:v>2.7333333333333329</c:v>
                </c:pt>
                <c:pt idx="83">
                  <c:v>2.7666666666666671</c:v>
                </c:pt>
                <c:pt idx="84">
                  <c:v>2.8</c:v>
                </c:pt>
                <c:pt idx="85">
                  <c:v>2.833333333333333</c:v>
                </c:pt>
                <c:pt idx="86">
                  <c:v>2.8666666666666671</c:v>
                </c:pt>
                <c:pt idx="87">
                  <c:v>2.9</c:v>
                </c:pt>
                <c:pt idx="88">
                  <c:v>2.9333333333333331</c:v>
                </c:pt>
                <c:pt idx="89">
                  <c:v>2.9666666666666668</c:v>
                </c:pt>
                <c:pt idx="90">
                  <c:v>3</c:v>
                </c:pt>
                <c:pt idx="91">
                  <c:v>3.0333333333333332</c:v>
                </c:pt>
                <c:pt idx="92">
                  <c:v>3.066666666666666</c:v>
                </c:pt>
                <c:pt idx="93">
                  <c:v>3.1</c:v>
                </c:pt>
                <c:pt idx="94">
                  <c:v>3.1333333333333329</c:v>
                </c:pt>
                <c:pt idx="95">
                  <c:v>3.166666666666667</c:v>
                </c:pt>
                <c:pt idx="96">
                  <c:v>3.2</c:v>
                </c:pt>
                <c:pt idx="97">
                  <c:v>3.2333333333333329</c:v>
                </c:pt>
                <c:pt idx="98">
                  <c:v>3.2666666666666671</c:v>
                </c:pt>
                <c:pt idx="99">
                  <c:v>3.3</c:v>
                </c:pt>
                <c:pt idx="100">
                  <c:v>3.333333333333333</c:v>
                </c:pt>
                <c:pt idx="101">
                  <c:v>3.3666666666666671</c:v>
                </c:pt>
                <c:pt idx="102">
                  <c:v>3.4</c:v>
                </c:pt>
                <c:pt idx="103">
                  <c:v>3.4333333333333331</c:v>
                </c:pt>
                <c:pt idx="104">
                  <c:v>3.4666666666666668</c:v>
                </c:pt>
                <c:pt idx="105">
                  <c:v>3.5</c:v>
                </c:pt>
                <c:pt idx="106">
                  <c:v>3.5333333333333332</c:v>
                </c:pt>
                <c:pt idx="107">
                  <c:v>3.566666666666666</c:v>
                </c:pt>
                <c:pt idx="108">
                  <c:v>3.6</c:v>
                </c:pt>
                <c:pt idx="109">
                  <c:v>3.6333333333333329</c:v>
                </c:pt>
                <c:pt idx="110">
                  <c:v>3.666666666666667</c:v>
                </c:pt>
                <c:pt idx="111">
                  <c:v>3.7</c:v>
                </c:pt>
                <c:pt idx="112">
                  <c:v>3.7333333333333329</c:v>
                </c:pt>
                <c:pt idx="113">
                  <c:v>3.7666666666666671</c:v>
                </c:pt>
                <c:pt idx="114">
                  <c:v>3.8</c:v>
                </c:pt>
                <c:pt idx="115">
                  <c:v>3.833333333333333</c:v>
                </c:pt>
                <c:pt idx="116">
                  <c:v>3.8666666666666671</c:v>
                </c:pt>
                <c:pt idx="117">
                  <c:v>3.9</c:v>
                </c:pt>
                <c:pt idx="118">
                  <c:v>3.9333333333333331</c:v>
                </c:pt>
                <c:pt idx="119">
                  <c:v>3.9666666666666668</c:v>
                </c:pt>
                <c:pt idx="120">
                  <c:v>4</c:v>
                </c:pt>
                <c:pt idx="121">
                  <c:v>4.0333333333333332</c:v>
                </c:pt>
                <c:pt idx="122">
                  <c:v>4.0666666666666664</c:v>
                </c:pt>
                <c:pt idx="123">
                  <c:v>4.0999999999999996</c:v>
                </c:pt>
                <c:pt idx="124">
                  <c:v>4.1333333333333329</c:v>
                </c:pt>
                <c:pt idx="125">
                  <c:v>4.166666666666667</c:v>
                </c:pt>
                <c:pt idx="126">
                  <c:v>4.2</c:v>
                </c:pt>
                <c:pt idx="127">
                  <c:v>4.2333333333333334</c:v>
                </c:pt>
                <c:pt idx="128">
                  <c:v>4.2666666666666666</c:v>
                </c:pt>
                <c:pt idx="129">
                  <c:v>4.3</c:v>
                </c:pt>
                <c:pt idx="130">
                  <c:v>4.333333333333333</c:v>
                </c:pt>
                <c:pt idx="131">
                  <c:v>4.3666666666666663</c:v>
                </c:pt>
                <c:pt idx="132">
                  <c:v>4.4000000000000004</c:v>
                </c:pt>
                <c:pt idx="133">
                  <c:v>4.4333333333333336</c:v>
                </c:pt>
                <c:pt idx="134">
                  <c:v>4.4666666666666668</c:v>
                </c:pt>
                <c:pt idx="135">
                  <c:v>4.5</c:v>
                </c:pt>
                <c:pt idx="136">
                  <c:v>4.5333333333333332</c:v>
                </c:pt>
                <c:pt idx="137">
                  <c:v>4.5666666666666664</c:v>
                </c:pt>
                <c:pt idx="138">
                  <c:v>4.5999999999999996</c:v>
                </c:pt>
                <c:pt idx="139">
                  <c:v>4.6333333333333329</c:v>
                </c:pt>
                <c:pt idx="140">
                  <c:v>4.666666666666667</c:v>
                </c:pt>
                <c:pt idx="141">
                  <c:v>4.7</c:v>
                </c:pt>
                <c:pt idx="142">
                  <c:v>4.7333333333333334</c:v>
                </c:pt>
                <c:pt idx="143">
                  <c:v>4.7666666666666666</c:v>
                </c:pt>
                <c:pt idx="144">
                  <c:v>4.8</c:v>
                </c:pt>
                <c:pt idx="145">
                  <c:v>4.833333333333333</c:v>
                </c:pt>
                <c:pt idx="146">
                  <c:v>4.8666666666666663</c:v>
                </c:pt>
                <c:pt idx="147">
                  <c:v>4.9000000000000004</c:v>
                </c:pt>
                <c:pt idx="148">
                  <c:v>4.9333333333333336</c:v>
                </c:pt>
                <c:pt idx="149">
                  <c:v>4.9666666666666668</c:v>
                </c:pt>
                <c:pt idx="150">
                  <c:v>5</c:v>
                </c:pt>
                <c:pt idx="151">
                  <c:v>5.0333333333333332</c:v>
                </c:pt>
                <c:pt idx="152">
                  <c:v>5.0666666666666664</c:v>
                </c:pt>
                <c:pt idx="153">
                  <c:v>5.0999999999999996</c:v>
                </c:pt>
                <c:pt idx="154">
                  <c:v>5.1333333333333329</c:v>
                </c:pt>
                <c:pt idx="155">
                  <c:v>5.166666666666667</c:v>
                </c:pt>
                <c:pt idx="156">
                  <c:v>5.2</c:v>
                </c:pt>
                <c:pt idx="157">
                  <c:v>5.2333333333333334</c:v>
                </c:pt>
                <c:pt idx="158">
                  <c:v>5.2666666666666666</c:v>
                </c:pt>
                <c:pt idx="159">
                  <c:v>5.3</c:v>
                </c:pt>
                <c:pt idx="160">
                  <c:v>5.333333333333333</c:v>
                </c:pt>
                <c:pt idx="161">
                  <c:v>5.3666666666666663</c:v>
                </c:pt>
                <c:pt idx="162">
                  <c:v>5.4</c:v>
                </c:pt>
                <c:pt idx="163">
                  <c:v>5.4333333333333336</c:v>
                </c:pt>
                <c:pt idx="164">
                  <c:v>5.4666666666666668</c:v>
                </c:pt>
                <c:pt idx="165">
                  <c:v>5.5</c:v>
                </c:pt>
                <c:pt idx="166">
                  <c:v>5.5333333333333332</c:v>
                </c:pt>
                <c:pt idx="167">
                  <c:v>5.5666666666666664</c:v>
                </c:pt>
                <c:pt idx="168">
                  <c:v>5.6</c:v>
                </c:pt>
                <c:pt idx="169">
                  <c:v>5.6333333333333329</c:v>
                </c:pt>
                <c:pt idx="170">
                  <c:v>5.666666666666667</c:v>
                </c:pt>
                <c:pt idx="171">
                  <c:v>5.7</c:v>
                </c:pt>
                <c:pt idx="172">
                  <c:v>5.7333333333333334</c:v>
                </c:pt>
                <c:pt idx="173">
                  <c:v>5.7666666666666666</c:v>
                </c:pt>
                <c:pt idx="174">
                  <c:v>5.8</c:v>
                </c:pt>
                <c:pt idx="175">
                  <c:v>5.833333333333333</c:v>
                </c:pt>
                <c:pt idx="176">
                  <c:v>5.8666666666666663</c:v>
                </c:pt>
                <c:pt idx="177">
                  <c:v>5.9</c:v>
                </c:pt>
                <c:pt idx="178">
                  <c:v>5.9333333333333336</c:v>
                </c:pt>
                <c:pt idx="179">
                  <c:v>5.9666666666666668</c:v>
                </c:pt>
                <c:pt idx="180">
                  <c:v>6</c:v>
                </c:pt>
                <c:pt idx="181">
                  <c:v>6.0333333333333332</c:v>
                </c:pt>
                <c:pt idx="182">
                  <c:v>6.0666666666666664</c:v>
                </c:pt>
                <c:pt idx="183">
                  <c:v>6.1</c:v>
                </c:pt>
                <c:pt idx="184">
                  <c:v>6.1333333333333329</c:v>
                </c:pt>
                <c:pt idx="185">
                  <c:v>6.166666666666667</c:v>
                </c:pt>
                <c:pt idx="186">
                  <c:v>6.2</c:v>
                </c:pt>
                <c:pt idx="187">
                  <c:v>6.2333333333333334</c:v>
                </c:pt>
                <c:pt idx="188">
                  <c:v>6.2666666666666666</c:v>
                </c:pt>
                <c:pt idx="189">
                  <c:v>6.3</c:v>
                </c:pt>
                <c:pt idx="190">
                  <c:v>6.333333333333333</c:v>
                </c:pt>
                <c:pt idx="191">
                  <c:v>6.3666666666666663</c:v>
                </c:pt>
                <c:pt idx="192">
                  <c:v>6.4</c:v>
                </c:pt>
                <c:pt idx="193">
                  <c:v>6.4333333333333336</c:v>
                </c:pt>
                <c:pt idx="194">
                  <c:v>6.4666666666666668</c:v>
                </c:pt>
                <c:pt idx="195">
                  <c:v>6.5</c:v>
                </c:pt>
                <c:pt idx="196">
                  <c:v>6.5333333333333332</c:v>
                </c:pt>
                <c:pt idx="197">
                  <c:v>6.5666666666666664</c:v>
                </c:pt>
                <c:pt idx="198">
                  <c:v>6.6</c:v>
                </c:pt>
                <c:pt idx="199">
                  <c:v>6.6333333333333329</c:v>
                </c:pt>
                <c:pt idx="200">
                  <c:v>6.666666666666667</c:v>
                </c:pt>
                <c:pt idx="201">
                  <c:v>6.7</c:v>
                </c:pt>
                <c:pt idx="202">
                  <c:v>6.7333333333333334</c:v>
                </c:pt>
                <c:pt idx="203">
                  <c:v>6.7666666666666666</c:v>
                </c:pt>
                <c:pt idx="204">
                  <c:v>6.8</c:v>
                </c:pt>
                <c:pt idx="205">
                  <c:v>6.833333333333333</c:v>
                </c:pt>
                <c:pt idx="206">
                  <c:v>6.8666666666666663</c:v>
                </c:pt>
                <c:pt idx="207">
                  <c:v>6.8999999999999986</c:v>
                </c:pt>
                <c:pt idx="208">
                  <c:v>6.9333333333333336</c:v>
                </c:pt>
                <c:pt idx="209">
                  <c:v>6.9666666666666668</c:v>
                </c:pt>
                <c:pt idx="210">
                  <c:v>7</c:v>
                </c:pt>
                <c:pt idx="211">
                  <c:v>7.0333333333333332</c:v>
                </c:pt>
                <c:pt idx="212">
                  <c:v>7.0666666666666664</c:v>
                </c:pt>
                <c:pt idx="213">
                  <c:v>7.1</c:v>
                </c:pt>
                <c:pt idx="214">
                  <c:v>7.1333333333333329</c:v>
                </c:pt>
                <c:pt idx="215">
                  <c:v>7.166666666666667</c:v>
                </c:pt>
                <c:pt idx="216">
                  <c:v>7.2</c:v>
                </c:pt>
                <c:pt idx="217">
                  <c:v>7.2333333333333334</c:v>
                </c:pt>
                <c:pt idx="218">
                  <c:v>7.2666666666666666</c:v>
                </c:pt>
                <c:pt idx="219">
                  <c:v>7.3</c:v>
                </c:pt>
                <c:pt idx="220">
                  <c:v>7.333333333333333</c:v>
                </c:pt>
                <c:pt idx="221">
                  <c:v>7.3666666666666663</c:v>
                </c:pt>
                <c:pt idx="222">
                  <c:v>7.3999999999999986</c:v>
                </c:pt>
                <c:pt idx="223">
                  <c:v>7.4333333333333336</c:v>
                </c:pt>
                <c:pt idx="224">
                  <c:v>7.4666666666666668</c:v>
                </c:pt>
                <c:pt idx="225">
                  <c:v>7.5</c:v>
                </c:pt>
                <c:pt idx="226">
                  <c:v>7.5333333333333332</c:v>
                </c:pt>
                <c:pt idx="227">
                  <c:v>7.5666666666666664</c:v>
                </c:pt>
                <c:pt idx="228">
                  <c:v>7.6</c:v>
                </c:pt>
                <c:pt idx="229">
                  <c:v>7.6333333333333329</c:v>
                </c:pt>
                <c:pt idx="230">
                  <c:v>7.666666666666667</c:v>
                </c:pt>
                <c:pt idx="231">
                  <c:v>7.7</c:v>
                </c:pt>
                <c:pt idx="232">
                  <c:v>7.7333333333333334</c:v>
                </c:pt>
                <c:pt idx="233">
                  <c:v>7.7666666666666666</c:v>
                </c:pt>
                <c:pt idx="234">
                  <c:v>7.8</c:v>
                </c:pt>
                <c:pt idx="235">
                  <c:v>7.833333333333333</c:v>
                </c:pt>
                <c:pt idx="236">
                  <c:v>7.8666666666666663</c:v>
                </c:pt>
                <c:pt idx="237">
                  <c:v>7.8999999999999986</c:v>
                </c:pt>
                <c:pt idx="238">
                  <c:v>7.9333333333333336</c:v>
                </c:pt>
                <c:pt idx="239">
                  <c:v>7.9666666666666668</c:v>
                </c:pt>
                <c:pt idx="240">
                  <c:v>8</c:v>
                </c:pt>
                <c:pt idx="241">
                  <c:v>8.0333333333333332</c:v>
                </c:pt>
                <c:pt idx="242">
                  <c:v>8.0666666666666664</c:v>
                </c:pt>
                <c:pt idx="243">
                  <c:v>8.1</c:v>
                </c:pt>
                <c:pt idx="244">
                  <c:v>8.1333333333333329</c:v>
                </c:pt>
                <c:pt idx="245">
                  <c:v>8.1666666666666661</c:v>
                </c:pt>
                <c:pt idx="246">
                  <c:v>8.1999999999999993</c:v>
                </c:pt>
                <c:pt idx="247">
                  <c:v>8.2333333333333325</c:v>
                </c:pt>
                <c:pt idx="248">
                  <c:v>8.2666666666666657</c:v>
                </c:pt>
                <c:pt idx="249">
                  <c:v>8.3000000000000007</c:v>
                </c:pt>
                <c:pt idx="250">
                  <c:v>8.3333333333333339</c:v>
                </c:pt>
                <c:pt idx="251">
                  <c:v>8.3666666666666671</c:v>
                </c:pt>
                <c:pt idx="252">
                  <c:v>8.4</c:v>
                </c:pt>
                <c:pt idx="253">
                  <c:v>8.4333333333333336</c:v>
                </c:pt>
                <c:pt idx="254">
                  <c:v>8.4666666666666668</c:v>
                </c:pt>
                <c:pt idx="255">
                  <c:v>8.5</c:v>
                </c:pt>
                <c:pt idx="256">
                  <c:v>8.5333333333333332</c:v>
                </c:pt>
                <c:pt idx="257">
                  <c:v>8.5666666666666664</c:v>
                </c:pt>
                <c:pt idx="258">
                  <c:v>8.6</c:v>
                </c:pt>
                <c:pt idx="259">
                  <c:v>8.6333333333333329</c:v>
                </c:pt>
                <c:pt idx="260">
                  <c:v>8.6666666666666661</c:v>
                </c:pt>
                <c:pt idx="261">
                  <c:v>8.6999999999999993</c:v>
                </c:pt>
                <c:pt idx="262">
                  <c:v>8.7333333333333325</c:v>
                </c:pt>
                <c:pt idx="263">
                  <c:v>8.7666666666666657</c:v>
                </c:pt>
                <c:pt idx="264">
                  <c:v>8.8000000000000007</c:v>
                </c:pt>
                <c:pt idx="265">
                  <c:v>8.8333333333333339</c:v>
                </c:pt>
                <c:pt idx="266">
                  <c:v>8.8666666666666671</c:v>
                </c:pt>
                <c:pt idx="267">
                  <c:v>8.9</c:v>
                </c:pt>
                <c:pt idx="268">
                  <c:v>8.9333333333333336</c:v>
                </c:pt>
                <c:pt idx="269">
                  <c:v>8.9666666666666668</c:v>
                </c:pt>
                <c:pt idx="270">
                  <c:v>9</c:v>
                </c:pt>
                <c:pt idx="271">
                  <c:v>9.0333333333333332</c:v>
                </c:pt>
                <c:pt idx="272">
                  <c:v>9.0666666666666664</c:v>
                </c:pt>
                <c:pt idx="273">
                  <c:v>9.1</c:v>
                </c:pt>
                <c:pt idx="274">
                  <c:v>9.1333333333333329</c:v>
                </c:pt>
                <c:pt idx="275">
                  <c:v>9.1666666666666661</c:v>
                </c:pt>
                <c:pt idx="276">
                  <c:v>9.1999999999999993</c:v>
                </c:pt>
                <c:pt idx="277">
                  <c:v>9.2333333333333325</c:v>
                </c:pt>
                <c:pt idx="278">
                  <c:v>9.2666666666666657</c:v>
                </c:pt>
                <c:pt idx="279">
                  <c:v>9.3000000000000007</c:v>
                </c:pt>
                <c:pt idx="280">
                  <c:v>9.3333333333333339</c:v>
                </c:pt>
                <c:pt idx="281">
                  <c:v>9.3666666666666671</c:v>
                </c:pt>
                <c:pt idx="282">
                  <c:v>9.4</c:v>
                </c:pt>
                <c:pt idx="283">
                  <c:v>9.4333333333333336</c:v>
                </c:pt>
                <c:pt idx="284">
                  <c:v>9.4666666666666668</c:v>
                </c:pt>
                <c:pt idx="285">
                  <c:v>9.5</c:v>
                </c:pt>
                <c:pt idx="286">
                  <c:v>9.5333333333333332</c:v>
                </c:pt>
                <c:pt idx="287">
                  <c:v>9.5666666666666664</c:v>
                </c:pt>
                <c:pt idx="288">
                  <c:v>9.6</c:v>
                </c:pt>
                <c:pt idx="289">
                  <c:v>9.6333333333333329</c:v>
                </c:pt>
                <c:pt idx="290">
                  <c:v>9.6666666666666661</c:v>
                </c:pt>
                <c:pt idx="291">
                  <c:v>9.6999999999999993</c:v>
                </c:pt>
              </c:numCache>
            </c:numRef>
          </c:xVal>
          <c:yVal>
            <c:numRef>
              <c:f>'att9'!$I$2:$I$293</c:f>
              <c:numCache>
                <c:formatCode>General</c:formatCode>
                <c:ptCount val="292"/>
                <c:pt idx="0">
                  <c:v>152.80493390135234</c:v>
                </c:pt>
                <c:pt idx="1">
                  <c:v>154.75296723470092</c:v>
                </c:pt>
                <c:pt idx="2">
                  <c:v>156.70100056802039</c:v>
                </c:pt>
                <c:pt idx="3">
                  <c:v>158.64903390136897</c:v>
                </c:pt>
                <c:pt idx="4">
                  <c:v>160.59706723468844</c:v>
                </c:pt>
                <c:pt idx="5">
                  <c:v>162.54510056800791</c:v>
                </c:pt>
                <c:pt idx="6">
                  <c:v>164.49313390135649</c:v>
                </c:pt>
                <c:pt idx="7">
                  <c:v>166.44116723467596</c:v>
                </c:pt>
                <c:pt idx="8">
                  <c:v>168.38920056805364</c:v>
                </c:pt>
                <c:pt idx="9">
                  <c:v>170.33723390137311</c:v>
                </c:pt>
                <c:pt idx="10">
                  <c:v>172.28526723469258</c:v>
                </c:pt>
                <c:pt idx="11">
                  <c:v>174.23330056804116</c:v>
                </c:pt>
                <c:pt idx="12">
                  <c:v>176.18133390136063</c:v>
                </c:pt>
                <c:pt idx="13">
                  <c:v>178.12936723470921</c:v>
                </c:pt>
                <c:pt idx="14">
                  <c:v>180.07740056802868</c:v>
                </c:pt>
                <c:pt idx="15">
                  <c:v>182.02543390134815</c:v>
                </c:pt>
                <c:pt idx="16">
                  <c:v>183.97346723469673</c:v>
                </c:pt>
                <c:pt idx="17">
                  <c:v>185.9215005680162</c:v>
                </c:pt>
                <c:pt idx="18">
                  <c:v>187.86953390136478</c:v>
                </c:pt>
                <c:pt idx="19">
                  <c:v>189.81756723468425</c:v>
                </c:pt>
                <c:pt idx="20">
                  <c:v>191.76560056803282</c:v>
                </c:pt>
                <c:pt idx="21">
                  <c:v>193.7136339013523</c:v>
                </c:pt>
                <c:pt idx="22">
                  <c:v>195.66166723467177</c:v>
                </c:pt>
                <c:pt idx="23">
                  <c:v>197.60970056804945</c:v>
                </c:pt>
                <c:pt idx="24">
                  <c:v>199.55773390136892</c:v>
                </c:pt>
                <c:pt idx="25">
                  <c:v>201.5057672347175</c:v>
                </c:pt>
                <c:pt idx="26">
                  <c:v>203.45380056803697</c:v>
                </c:pt>
                <c:pt idx="27">
                  <c:v>205.40183390135644</c:v>
                </c:pt>
                <c:pt idx="28">
                  <c:v>207.34986723470502</c:v>
                </c:pt>
                <c:pt idx="29">
                  <c:v>209.29790056802449</c:v>
                </c:pt>
                <c:pt idx="30">
                  <c:v>211.24593390137306</c:v>
                </c:pt>
                <c:pt idx="31">
                  <c:v>213.19396723469254</c:v>
                </c:pt>
                <c:pt idx="32">
                  <c:v>215.14200056801201</c:v>
                </c:pt>
                <c:pt idx="33">
                  <c:v>217.09003390136058</c:v>
                </c:pt>
                <c:pt idx="34">
                  <c:v>219.03806723468006</c:v>
                </c:pt>
                <c:pt idx="35">
                  <c:v>220.98610056802863</c:v>
                </c:pt>
                <c:pt idx="36">
                  <c:v>222.9341339013481</c:v>
                </c:pt>
                <c:pt idx="37">
                  <c:v>224.88216723469668</c:v>
                </c:pt>
                <c:pt idx="38">
                  <c:v>226.83020056804526</c:v>
                </c:pt>
                <c:pt idx="39">
                  <c:v>228.77823390136473</c:v>
                </c:pt>
                <c:pt idx="40">
                  <c:v>230.7262672347133</c:v>
                </c:pt>
                <c:pt idx="41">
                  <c:v>232.67430056803278</c:v>
                </c:pt>
                <c:pt idx="42">
                  <c:v>234.62233390138135</c:v>
                </c:pt>
                <c:pt idx="43">
                  <c:v>236.57036723470083</c:v>
                </c:pt>
                <c:pt idx="44">
                  <c:v>238.5184005680203</c:v>
                </c:pt>
                <c:pt idx="45">
                  <c:v>240.46643390136887</c:v>
                </c:pt>
                <c:pt idx="46">
                  <c:v>242.41446723468835</c:v>
                </c:pt>
                <c:pt idx="47">
                  <c:v>244.36250056803692</c:v>
                </c:pt>
                <c:pt idx="48">
                  <c:v>246.31053390135639</c:v>
                </c:pt>
                <c:pt idx="49">
                  <c:v>248.25856723467587</c:v>
                </c:pt>
                <c:pt idx="50">
                  <c:v>250.20660056802444</c:v>
                </c:pt>
                <c:pt idx="51">
                  <c:v>252.15463390134391</c:v>
                </c:pt>
                <c:pt idx="52">
                  <c:v>254.10266723469249</c:v>
                </c:pt>
                <c:pt idx="53">
                  <c:v>256.05070056804107</c:v>
                </c:pt>
                <c:pt idx="54">
                  <c:v>257.99873390136054</c:v>
                </c:pt>
                <c:pt idx="55">
                  <c:v>259.94676723470911</c:v>
                </c:pt>
                <c:pt idx="56">
                  <c:v>261.89480056802859</c:v>
                </c:pt>
                <c:pt idx="57">
                  <c:v>263.84283390137716</c:v>
                </c:pt>
                <c:pt idx="58">
                  <c:v>265.79086723469663</c:v>
                </c:pt>
                <c:pt idx="59">
                  <c:v>267.73890056804521</c:v>
                </c:pt>
                <c:pt idx="60">
                  <c:v>269.68693390136468</c:v>
                </c:pt>
                <c:pt idx="61">
                  <c:v>271.63496723468415</c:v>
                </c:pt>
                <c:pt idx="62">
                  <c:v>273.58300056803273</c:v>
                </c:pt>
                <c:pt idx="63">
                  <c:v>275.5310339013522</c:v>
                </c:pt>
                <c:pt idx="64">
                  <c:v>277.47906723470078</c:v>
                </c:pt>
                <c:pt idx="65">
                  <c:v>279.42710056802025</c:v>
                </c:pt>
                <c:pt idx="66">
                  <c:v>281.37513390133972</c:v>
                </c:pt>
                <c:pt idx="67">
                  <c:v>283.3231672346883</c:v>
                </c:pt>
                <c:pt idx="68">
                  <c:v>285.27120056803687</c:v>
                </c:pt>
                <c:pt idx="69">
                  <c:v>287.21923390138545</c:v>
                </c:pt>
                <c:pt idx="70">
                  <c:v>289.16726723470492</c:v>
                </c:pt>
                <c:pt idx="71">
                  <c:v>291.1153005680244</c:v>
                </c:pt>
                <c:pt idx="72">
                  <c:v>293.06333390137297</c:v>
                </c:pt>
                <c:pt idx="73">
                  <c:v>295.01136723469244</c:v>
                </c:pt>
                <c:pt idx="74">
                  <c:v>296.95940056804102</c:v>
                </c:pt>
                <c:pt idx="75">
                  <c:v>298.90743390136049</c:v>
                </c:pt>
                <c:pt idx="76">
                  <c:v>300.85546723467996</c:v>
                </c:pt>
                <c:pt idx="77">
                  <c:v>302.80350056802854</c:v>
                </c:pt>
                <c:pt idx="78">
                  <c:v>304.75153390134801</c:v>
                </c:pt>
                <c:pt idx="79">
                  <c:v>306.69956723469659</c:v>
                </c:pt>
                <c:pt idx="80">
                  <c:v>308.64760056801606</c:v>
                </c:pt>
                <c:pt idx="81">
                  <c:v>310.59563390136464</c:v>
                </c:pt>
                <c:pt idx="82">
                  <c:v>312.54366723468411</c:v>
                </c:pt>
                <c:pt idx="83">
                  <c:v>314.49170056803268</c:v>
                </c:pt>
                <c:pt idx="84">
                  <c:v>316.43973390138126</c:v>
                </c:pt>
                <c:pt idx="85">
                  <c:v>318.38776723470073</c:v>
                </c:pt>
                <c:pt idx="86">
                  <c:v>320.33580056804931</c:v>
                </c:pt>
                <c:pt idx="87">
                  <c:v>322.28383390136878</c:v>
                </c:pt>
                <c:pt idx="88">
                  <c:v>324.23186723468825</c:v>
                </c:pt>
                <c:pt idx="89">
                  <c:v>326.17990056803683</c:v>
                </c:pt>
                <c:pt idx="90">
                  <c:v>328.1279339013563</c:v>
                </c:pt>
                <c:pt idx="91">
                  <c:v>330.07596723470488</c:v>
                </c:pt>
                <c:pt idx="92">
                  <c:v>332.02400056802435</c:v>
                </c:pt>
                <c:pt idx="93">
                  <c:v>333.97203390134382</c:v>
                </c:pt>
                <c:pt idx="94">
                  <c:v>335.9200672346924</c:v>
                </c:pt>
                <c:pt idx="95">
                  <c:v>337.86810056801187</c:v>
                </c:pt>
                <c:pt idx="96">
                  <c:v>339.81613390136044</c:v>
                </c:pt>
                <c:pt idx="97">
                  <c:v>341.76416723467992</c:v>
                </c:pt>
                <c:pt idx="98">
                  <c:v>343.71220056802849</c:v>
                </c:pt>
                <c:pt idx="99">
                  <c:v>345.66023390137707</c:v>
                </c:pt>
                <c:pt idx="100">
                  <c:v>347.60826723469654</c:v>
                </c:pt>
                <c:pt idx="101">
                  <c:v>349.55630056804512</c:v>
                </c:pt>
                <c:pt idx="102">
                  <c:v>351.50433390136459</c:v>
                </c:pt>
                <c:pt idx="103">
                  <c:v>353.45236723471317</c:v>
                </c:pt>
                <c:pt idx="104">
                  <c:v>355.40040056803264</c:v>
                </c:pt>
                <c:pt idx="105">
                  <c:v>357.34843390135211</c:v>
                </c:pt>
                <c:pt idx="106">
                  <c:v>359.29646723470069</c:v>
                </c:pt>
                <c:pt idx="107">
                  <c:v>361.24450056802016</c:v>
                </c:pt>
                <c:pt idx="108">
                  <c:v>363.19253390136873</c:v>
                </c:pt>
                <c:pt idx="109">
                  <c:v>365.14056723468821</c:v>
                </c:pt>
                <c:pt idx="110">
                  <c:v>367.08860056800768</c:v>
                </c:pt>
                <c:pt idx="111">
                  <c:v>369.03663390135625</c:v>
                </c:pt>
                <c:pt idx="112">
                  <c:v>370.98466723467573</c:v>
                </c:pt>
                <c:pt idx="113">
                  <c:v>372.93270056805341</c:v>
                </c:pt>
                <c:pt idx="114">
                  <c:v>374.88073390137288</c:v>
                </c:pt>
                <c:pt idx="115">
                  <c:v>376.82876723469235</c:v>
                </c:pt>
                <c:pt idx="116">
                  <c:v>378.77680056804093</c:v>
                </c:pt>
                <c:pt idx="117">
                  <c:v>380.7248339013604</c:v>
                </c:pt>
                <c:pt idx="118">
                  <c:v>382.67286723470897</c:v>
                </c:pt>
                <c:pt idx="119">
                  <c:v>384.62090056802845</c:v>
                </c:pt>
                <c:pt idx="120">
                  <c:v>386.56893390137702</c:v>
                </c:pt>
                <c:pt idx="121">
                  <c:v>388.51696723469649</c:v>
                </c:pt>
                <c:pt idx="122">
                  <c:v>390.46500056801597</c:v>
                </c:pt>
                <c:pt idx="123">
                  <c:v>392.41303390136454</c:v>
                </c:pt>
                <c:pt idx="124">
                  <c:v>394.36106723468401</c:v>
                </c:pt>
                <c:pt idx="125">
                  <c:v>396.30910056803259</c:v>
                </c:pt>
                <c:pt idx="126">
                  <c:v>398.25713390135206</c:v>
                </c:pt>
                <c:pt idx="127">
                  <c:v>400.20516723467153</c:v>
                </c:pt>
                <c:pt idx="128">
                  <c:v>402.15320056804921</c:v>
                </c:pt>
                <c:pt idx="129">
                  <c:v>404.10123390136869</c:v>
                </c:pt>
                <c:pt idx="130">
                  <c:v>406.04926723471726</c:v>
                </c:pt>
                <c:pt idx="131">
                  <c:v>407.99730056803674</c:v>
                </c:pt>
                <c:pt idx="132">
                  <c:v>409.94533390135621</c:v>
                </c:pt>
                <c:pt idx="133">
                  <c:v>411.89336723470478</c:v>
                </c:pt>
                <c:pt idx="134">
                  <c:v>413.84140056802426</c:v>
                </c:pt>
                <c:pt idx="135">
                  <c:v>415.78943390137283</c:v>
                </c:pt>
                <c:pt idx="136">
                  <c:v>417.7374672346923</c:v>
                </c:pt>
                <c:pt idx="137">
                  <c:v>419.68550056801178</c:v>
                </c:pt>
                <c:pt idx="138">
                  <c:v>421.63353390136035</c:v>
                </c:pt>
                <c:pt idx="139">
                  <c:v>423.58156723467982</c:v>
                </c:pt>
                <c:pt idx="140">
                  <c:v>425.5296005680284</c:v>
                </c:pt>
                <c:pt idx="141">
                  <c:v>427.47763390134787</c:v>
                </c:pt>
                <c:pt idx="142">
                  <c:v>429.42566723469645</c:v>
                </c:pt>
                <c:pt idx="143">
                  <c:v>431.37370056804502</c:v>
                </c:pt>
                <c:pt idx="144">
                  <c:v>433.3217339013645</c:v>
                </c:pt>
                <c:pt idx="145">
                  <c:v>435.26976723471307</c:v>
                </c:pt>
                <c:pt idx="146">
                  <c:v>437.21780056803254</c:v>
                </c:pt>
                <c:pt idx="147">
                  <c:v>439.16583390138112</c:v>
                </c:pt>
                <c:pt idx="148">
                  <c:v>441.11386723470059</c:v>
                </c:pt>
                <c:pt idx="149">
                  <c:v>443.06190056802006</c:v>
                </c:pt>
                <c:pt idx="150">
                  <c:v>445.00993390136864</c:v>
                </c:pt>
                <c:pt idx="151">
                  <c:v>446.95796723468811</c:v>
                </c:pt>
                <c:pt idx="152">
                  <c:v>448.90600056803669</c:v>
                </c:pt>
                <c:pt idx="153">
                  <c:v>450.85403390135616</c:v>
                </c:pt>
                <c:pt idx="154">
                  <c:v>452.80206723467563</c:v>
                </c:pt>
                <c:pt idx="155">
                  <c:v>454.75010056802421</c:v>
                </c:pt>
                <c:pt idx="156">
                  <c:v>456.69813390134368</c:v>
                </c:pt>
                <c:pt idx="157">
                  <c:v>458.64616723469226</c:v>
                </c:pt>
                <c:pt idx="158">
                  <c:v>460.59420056804083</c:v>
                </c:pt>
                <c:pt idx="159">
                  <c:v>462.54223390136031</c:v>
                </c:pt>
                <c:pt idx="160">
                  <c:v>464.49026723470888</c:v>
                </c:pt>
                <c:pt idx="161">
                  <c:v>466.43830056802835</c:v>
                </c:pt>
                <c:pt idx="162">
                  <c:v>468.38633390137693</c:v>
                </c:pt>
                <c:pt idx="163">
                  <c:v>470.3343672346964</c:v>
                </c:pt>
                <c:pt idx="164">
                  <c:v>472.28240056804498</c:v>
                </c:pt>
                <c:pt idx="165">
                  <c:v>474.23043390136445</c:v>
                </c:pt>
                <c:pt idx="166">
                  <c:v>476.17846723468392</c:v>
                </c:pt>
                <c:pt idx="167">
                  <c:v>478.1265005680325</c:v>
                </c:pt>
                <c:pt idx="168">
                  <c:v>480.07453390135197</c:v>
                </c:pt>
                <c:pt idx="169">
                  <c:v>482.02256723470055</c:v>
                </c:pt>
                <c:pt idx="170">
                  <c:v>483.97060056802002</c:v>
                </c:pt>
                <c:pt idx="171">
                  <c:v>485.91863390133949</c:v>
                </c:pt>
                <c:pt idx="172">
                  <c:v>487.86666723468807</c:v>
                </c:pt>
                <c:pt idx="173">
                  <c:v>489.81470056803664</c:v>
                </c:pt>
                <c:pt idx="174">
                  <c:v>491.76273390138522</c:v>
                </c:pt>
                <c:pt idx="175">
                  <c:v>493.71076723470469</c:v>
                </c:pt>
                <c:pt idx="176">
                  <c:v>495.65880056802416</c:v>
                </c:pt>
                <c:pt idx="177">
                  <c:v>497.60683390137274</c:v>
                </c:pt>
                <c:pt idx="178">
                  <c:v>499.55486723469221</c:v>
                </c:pt>
                <c:pt idx="179">
                  <c:v>501.50290056804079</c:v>
                </c:pt>
                <c:pt idx="180">
                  <c:v>503.45093390136026</c:v>
                </c:pt>
                <c:pt idx="181">
                  <c:v>505.39896723467973</c:v>
                </c:pt>
                <c:pt idx="182">
                  <c:v>507.34700056802831</c:v>
                </c:pt>
                <c:pt idx="183">
                  <c:v>509.29503390134778</c:v>
                </c:pt>
                <c:pt idx="184">
                  <c:v>511.24306723469635</c:v>
                </c:pt>
                <c:pt idx="185">
                  <c:v>513.19110056801583</c:v>
                </c:pt>
                <c:pt idx="186">
                  <c:v>515.1391339013644</c:v>
                </c:pt>
                <c:pt idx="187">
                  <c:v>517.08716723468387</c:v>
                </c:pt>
                <c:pt idx="188">
                  <c:v>519.03520056803245</c:v>
                </c:pt>
                <c:pt idx="189">
                  <c:v>520.98323390138103</c:v>
                </c:pt>
                <c:pt idx="190">
                  <c:v>522.9312672347005</c:v>
                </c:pt>
                <c:pt idx="191">
                  <c:v>524.87930056804908</c:v>
                </c:pt>
                <c:pt idx="192">
                  <c:v>526.82733390136855</c:v>
                </c:pt>
                <c:pt idx="193">
                  <c:v>528.77536723468802</c:v>
                </c:pt>
                <c:pt idx="194">
                  <c:v>530.7234005680366</c:v>
                </c:pt>
                <c:pt idx="195">
                  <c:v>532.67143390135607</c:v>
                </c:pt>
                <c:pt idx="196">
                  <c:v>534.61946723470464</c:v>
                </c:pt>
                <c:pt idx="197">
                  <c:v>536.56750056802412</c:v>
                </c:pt>
                <c:pt idx="198">
                  <c:v>538.51553390134359</c:v>
                </c:pt>
                <c:pt idx="199">
                  <c:v>540.46356723469216</c:v>
                </c:pt>
                <c:pt idx="200">
                  <c:v>542.41160056801164</c:v>
                </c:pt>
                <c:pt idx="201">
                  <c:v>544.35963390136021</c:v>
                </c:pt>
                <c:pt idx="202">
                  <c:v>546.30766723467968</c:v>
                </c:pt>
                <c:pt idx="203">
                  <c:v>548.25570056802826</c:v>
                </c:pt>
                <c:pt idx="204">
                  <c:v>550.20373390137684</c:v>
                </c:pt>
                <c:pt idx="205">
                  <c:v>552.15176723469631</c:v>
                </c:pt>
                <c:pt idx="206">
                  <c:v>554.09980056804488</c:v>
                </c:pt>
                <c:pt idx="207">
                  <c:v>556.04783390136436</c:v>
                </c:pt>
                <c:pt idx="208">
                  <c:v>557.99586723471293</c:v>
                </c:pt>
                <c:pt idx="209">
                  <c:v>559.9439005680324</c:v>
                </c:pt>
                <c:pt idx="210">
                  <c:v>561.89193390135188</c:v>
                </c:pt>
                <c:pt idx="211">
                  <c:v>563.83996723470045</c:v>
                </c:pt>
                <c:pt idx="212">
                  <c:v>565.78800056801992</c:v>
                </c:pt>
                <c:pt idx="213">
                  <c:v>567.7360339013685</c:v>
                </c:pt>
                <c:pt idx="214">
                  <c:v>569.68406723468797</c:v>
                </c:pt>
                <c:pt idx="215">
                  <c:v>571.63210056800744</c:v>
                </c:pt>
                <c:pt idx="216">
                  <c:v>573.58013390135602</c:v>
                </c:pt>
                <c:pt idx="217">
                  <c:v>575.52816723467549</c:v>
                </c:pt>
                <c:pt idx="218">
                  <c:v>577.47620056805317</c:v>
                </c:pt>
                <c:pt idx="219">
                  <c:v>579.42423390137265</c:v>
                </c:pt>
                <c:pt idx="220">
                  <c:v>581.37226723469212</c:v>
                </c:pt>
                <c:pt idx="221">
                  <c:v>583.32030056804069</c:v>
                </c:pt>
                <c:pt idx="222">
                  <c:v>585.26833390136017</c:v>
                </c:pt>
                <c:pt idx="223">
                  <c:v>587.21636723470874</c:v>
                </c:pt>
                <c:pt idx="224">
                  <c:v>589.16440056802821</c:v>
                </c:pt>
                <c:pt idx="225">
                  <c:v>591.11243390137679</c:v>
                </c:pt>
                <c:pt idx="226">
                  <c:v>593.06046723469626</c:v>
                </c:pt>
                <c:pt idx="227">
                  <c:v>595.00850056801573</c:v>
                </c:pt>
                <c:pt idx="228">
                  <c:v>596.95653390136431</c:v>
                </c:pt>
                <c:pt idx="229">
                  <c:v>598.90456723468378</c:v>
                </c:pt>
                <c:pt idx="230">
                  <c:v>600.85260056803236</c:v>
                </c:pt>
                <c:pt idx="231">
                  <c:v>602.80063390135183</c:v>
                </c:pt>
                <c:pt idx="232">
                  <c:v>604.7486672346713</c:v>
                </c:pt>
                <c:pt idx="233">
                  <c:v>606.69670056804898</c:v>
                </c:pt>
                <c:pt idx="234">
                  <c:v>608.64473390136845</c:v>
                </c:pt>
                <c:pt idx="235">
                  <c:v>610.59276723471703</c:v>
                </c:pt>
                <c:pt idx="236">
                  <c:v>612.5408005680365</c:v>
                </c:pt>
                <c:pt idx="237">
                  <c:v>614.48883390135597</c:v>
                </c:pt>
                <c:pt idx="238">
                  <c:v>616.43686723470455</c:v>
                </c:pt>
                <c:pt idx="239">
                  <c:v>618.38490056802402</c:v>
                </c:pt>
                <c:pt idx="240">
                  <c:v>620.3329339013726</c:v>
                </c:pt>
                <c:pt idx="241">
                  <c:v>622.28096723469207</c:v>
                </c:pt>
                <c:pt idx="242">
                  <c:v>624.22900056801154</c:v>
                </c:pt>
                <c:pt idx="243">
                  <c:v>626.17703390136012</c:v>
                </c:pt>
                <c:pt idx="244">
                  <c:v>628.12506723467959</c:v>
                </c:pt>
                <c:pt idx="245">
                  <c:v>630.07310056802817</c:v>
                </c:pt>
                <c:pt idx="246">
                  <c:v>632.02113390134764</c:v>
                </c:pt>
                <c:pt idx="247">
                  <c:v>633.96916723469622</c:v>
                </c:pt>
                <c:pt idx="248">
                  <c:v>635.91720056804479</c:v>
                </c:pt>
                <c:pt idx="249">
                  <c:v>637.86523390136426</c:v>
                </c:pt>
                <c:pt idx="250">
                  <c:v>639.81326723471284</c:v>
                </c:pt>
                <c:pt idx="251">
                  <c:v>641.76130056803231</c:v>
                </c:pt>
                <c:pt idx="252">
                  <c:v>643.70933390138089</c:v>
                </c:pt>
                <c:pt idx="253">
                  <c:v>645.65736723470036</c:v>
                </c:pt>
                <c:pt idx="254">
                  <c:v>647.60540056801983</c:v>
                </c:pt>
                <c:pt idx="255">
                  <c:v>649.55343390136841</c:v>
                </c:pt>
                <c:pt idx="256">
                  <c:v>651.50146723468788</c:v>
                </c:pt>
                <c:pt idx="257">
                  <c:v>653.44950056803646</c:v>
                </c:pt>
                <c:pt idx="258">
                  <c:v>655.39753390135593</c:v>
                </c:pt>
                <c:pt idx="259">
                  <c:v>657.3455672346754</c:v>
                </c:pt>
                <c:pt idx="260">
                  <c:v>659.29360056802398</c:v>
                </c:pt>
                <c:pt idx="261">
                  <c:v>661.24163390134345</c:v>
                </c:pt>
                <c:pt idx="262">
                  <c:v>663.18966723469202</c:v>
                </c:pt>
                <c:pt idx="263">
                  <c:v>665.1377005680406</c:v>
                </c:pt>
                <c:pt idx="264">
                  <c:v>667.08573390136007</c:v>
                </c:pt>
                <c:pt idx="265">
                  <c:v>669.03376723470865</c:v>
                </c:pt>
                <c:pt idx="266">
                  <c:v>670.98180056802812</c:v>
                </c:pt>
                <c:pt idx="267">
                  <c:v>672.9298339013767</c:v>
                </c:pt>
                <c:pt idx="268">
                  <c:v>674.87786723469617</c:v>
                </c:pt>
                <c:pt idx="269">
                  <c:v>676.82590056804474</c:v>
                </c:pt>
                <c:pt idx="270">
                  <c:v>678.77393390136422</c:v>
                </c:pt>
                <c:pt idx="271">
                  <c:v>680.72196723468369</c:v>
                </c:pt>
                <c:pt idx="272">
                  <c:v>682.67000056803226</c:v>
                </c:pt>
                <c:pt idx="273">
                  <c:v>684.61803390135174</c:v>
                </c:pt>
                <c:pt idx="274">
                  <c:v>686.56606723470031</c:v>
                </c:pt>
                <c:pt idx="275">
                  <c:v>688.51410056801978</c:v>
                </c:pt>
                <c:pt idx="276">
                  <c:v>690.46213390133926</c:v>
                </c:pt>
                <c:pt idx="277">
                  <c:v>692.41016723468783</c:v>
                </c:pt>
                <c:pt idx="278">
                  <c:v>694.35820056803641</c:v>
                </c:pt>
                <c:pt idx="279">
                  <c:v>696.30623390138499</c:v>
                </c:pt>
                <c:pt idx="280">
                  <c:v>698.25426723470446</c:v>
                </c:pt>
                <c:pt idx="281">
                  <c:v>700.20230056802393</c:v>
                </c:pt>
                <c:pt idx="282">
                  <c:v>702.15033390137251</c:v>
                </c:pt>
                <c:pt idx="283">
                  <c:v>704.09836723469198</c:v>
                </c:pt>
                <c:pt idx="284">
                  <c:v>706.04640056804055</c:v>
                </c:pt>
                <c:pt idx="285">
                  <c:v>707.99443390136003</c:v>
                </c:pt>
                <c:pt idx="286">
                  <c:v>709.9424672347086</c:v>
                </c:pt>
                <c:pt idx="287">
                  <c:v>711.89050056802807</c:v>
                </c:pt>
                <c:pt idx="288">
                  <c:v>713.83853390134755</c:v>
                </c:pt>
                <c:pt idx="289">
                  <c:v>715.78656723469612</c:v>
                </c:pt>
                <c:pt idx="290">
                  <c:v>717.73460056801559</c:v>
                </c:pt>
                <c:pt idx="291">
                  <c:v>719.68263390136417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DC-46AA-B157-27A29BC20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026831"/>
        <c:axId val="254025871"/>
      </c:scatterChart>
      <c:valAx>
        <c:axId val="25402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54025871"/>
        <c:crosses val="autoZero"/>
        <c:crossBetween val="midCat"/>
      </c:valAx>
      <c:valAx>
        <c:axId val="25402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54026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304799</xdr:colOff>
      <xdr:row>1</xdr:row>
      <xdr:rowOff>109537</xdr:rowOff>
    </xdr:from>
    <xdr:to>
      <xdr:col>23</xdr:col>
      <xdr:colOff>142874</xdr:colOff>
      <xdr:row>28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3038CC-FF0C-69BD-E036-9F0759EE5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342900</xdr:colOff>
      <xdr:row>7</xdr:row>
      <xdr:rowOff>176212</xdr:rowOff>
    </xdr:from>
    <xdr:to>
      <xdr:col>11</xdr:col>
      <xdr:colOff>428625</xdr:colOff>
      <xdr:row>22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A362C8-2282-F0C2-EDFB-847EA3460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567170</xdr:colOff>
      <xdr:row>4</xdr:row>
      <xdr:rowOff>13853</xdr:rowOff>
    </xdr:from>
    <xdr:to>
      <xdr:col>25</xdr:col>
      <xdr:colOff>77931</xdr:colOff>
      <xdr:row>29</xdr:row>
      <xdr:rowOff>77930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AB73BE-7E30-1EEC-A1B2-6A3AA0E72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1</xdr:row>
      <xdr:rowOff>147636</xdr:rowOff>
    </xdr:from>
    <xdr:to>
      <xdr:col>29</xdr:col>
      <xdr:colOff>133350</xdr:colOff>
      <xdr:row>28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817CE4-CF2C-5A2E-4ACD-2327C95DA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3"/>
  <sheetViews>
    <sheetView tabSelected="1" workbookViewId="0">
      <selection sqref="A1:C1048576"/>
    </sheetView>
  </sheetViews>
  <sheetFormatPr defaultRowHeight="15" x14ac:dyDescent="0.25"/>
  <cols>
    <col min="8" max="8" width="12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  <c r="H1" s="4" t="s">
        <v>14</v>
      </c>
    </row>
    <row r="2" spans="1:10" x14ac:dyDescent="0.25">
      <c r="A2">
        <v>0</v>
      </c>
      <c r="B2">
        <v>15.69306253759599</v>
      </c>
      <c r="C2">
        <v>108.5996225588224</v>
      </c>
      <c r="E2">
        <f>IF(B2&gt;=0, B2,  B2 + 360)</f>
        <v>15.69306253759599</v>
      </c>
      <c r="F2">
        <f>IF(C2&gt;=0, C2,  C2 + 360)</f>
        <v>108.5996225588224</v>
      </c>
      <c r="H2" s="6">
        <f>1693842544.2 - 3600</f>
        <v>1693838944.2</v>
      </c>
      <c r="J2" t="s">
        <v>11</v>
      </c>
    </row>
    <row r="3" spans="1:10" x14ac:dyDescent="0.25">
      <c r="A3">
        <v>3.3333333333333333E-2</v>
      </c>
      <c r="B3">
        <v>15.494457228366111</v>
      </c>
      <c r="C3">
        <v>110.370779827466</v>
      </c>
      <c r="E3">
        <f t="shared" ref="E3:E66" si="0">IF(B3&gt;=0, B3,  B3 + 360)</f>
        <v>15.494457228366111</v>
      </c>
      <c r="F3">
        <f t="shared" ref="F3:F66" si="1">IF(C3&gt;=0, C3,  C3 + 360)</f>
        <v>110.370779827466</v>
      </c>
      <c r="H3" s="3"/>
      <c r="J3" t="s">
        <v>10</v>
      </c>
    </row>
    <row r="4" spans="1:10" x14ac:dyDescent="0.25">
      <c r="A4">
        <v>6.6666666666666666E-2</v>
      </c>
      <c r="B4">
        <v>15.494457228366111</v>
      </c>
      <c r="C4">
        <v>110.3670032340392</v>
      </c>
      <c r="E4">
        <f t="shared" si="0"/>
        <v>15.494457228366111</v>
      </c>
      <c r="F4">
        <f t="shared" si="1"/>
        <v>110.3670032340392</v>
      </c>
    </row>
    <row r="5" spans="1:10" x14ac:dyDescent="0.25">
      <c r="A5">
        <v>0.1</v>
      </c>
      <c r="B5">
        <v>14.61380834960891</v>
      </c>
      <c r="C5">
        <v>114.10460626775721</v>
      </c>
      <c r="E5">
        <f t="shared" si="0"/>
        <v>14.61380834960891</v>
      </c>
      <c r="F5">
        <f t="shared" si="1"/>
        <v>114.10460626775721</v>
      </c>
    </row>
    <row r="6" spans="1:10" x14ac:dyDescent="0.25">
      <c r="A6">
        <v>0.1333333333333333</v>
      </c>
      <c r="B6">
        <v>14.135155213671419</v>
      </c>
      <c r="C6">
        <v>115.8808697198924</v>
      </c>
      <c r="E6">
        <f t="shared" si="0"/>
        <v>14.135155213671419</v>
      </c>
      <c r="F6">
        <f t="shared" si="1"/>
        <v>115.8808697198924</v>
      </c>
    </row>
    <row r="7" spans="1:10" x14ac:dyDescent="0.25">
      <c r="A7">
        <v>0.16666666666666671</v>
      </c>
      <c r="B7">
        <v>14.135155213671419</v>
      </c>
      <c r="C7">
        <v>115.8776935120882</v>
      </c>
      <c r="E7">
        <f t="shared" si="0"/>
        <v>14.135155213671419</v>
      </c>
      <c r="F7">
        <f t="shared" si="1"/>
        <v>115.8776935120882</v>
      </c>
    </row>
    <row r="8" spans="1:10" x14ac:dyDescent="0.25">
      <c r="A8">
        <v>0.2</v>
      </c>
      <c r="B8">
        <v>13.38840355495592</v>
      </c>
      <c r="C8">
        <v>119.6023230723026</v>
      </c>
      <c r="E8">
        <f t="shared" si="0"/>
        <v>13.38840355495592</v>
      </c>
      <c r="F8">
        <f t="shared" si="1"/>
        <v>119.6023230723026</v>
      </c>
    </row>
    <row r="9" spans="1:10" x14ac:dyDescent="0.25">
      <c r="A9">
        <v>0.23333333333333331</v>
      </c>
      <c r="B9">
        <v>13.17915897919173</v>
      </c>
      <c r="C9">
        <v>121.39596464319121</v>
      </c>
      <c r="E9">
        <f t="shared" si="0"/>
        <v>13.17915897919173</v>
      </c>
      <c r="F9">
        <f t="shared" si="1"/>
        <v>121.39596464319121</v>
      </c>
    </row>
    <row r="10" spans="1:10" x14ac:dyDescent="0.25">
      <c r="A10">
        <v>0.26666666666666672</v>
      </c>
      <c r="B10">
        <v>13.17915897919173</v>
      </c>
      <c r="C10">
        <v>121.3642288728748</v>
      </c>
      <c r="E10">
        <f t="shared" si="0"/>
        <v>13.17915897919173</v>
      </c>
      <c r="F10">
        <f t="shared" si="1"/>
        <v>121.3642288728748</v>
      </c>
    </row>
    <row r="11" spans="1:10" x14ac:dyDescent="0.25">
      <c r="A11">
        <v>0.3</v>
      </c>
      <c r="B11">
        <v>12.65121189151065</v>
      </c>
      <c r="C11">
        <v>125.077299023809</v>
      </c>
      <c r="E11">
        <f t="shared" si="0"/>
        <v>12.65121189151065</v>
      </c>
      <c r="F11">
        <f t="shared" si="1"/>
        <v>125.077299023809</v>
      </c>
    </row>
    <row r="12" spans="1:10" x14ac:dyDescent="0.25">
      <c r="A12">
        <v>0.33333333333333331</v>
      </c>
      <c r="B12">
        <v>12.517427722247691</v>
      </c>
      <c r="C12">
        <v>126.83001559560689</v>
      </c>
      <c r="E12">
        <f t="shared" si="0"/>
        <v>12.517427722247691</v>
      </c>
      <c r="F12">
        <f t="shared" si="1"/>
        <v>126.83001559560689</v>
      </c>
    </row>
    <row r="13" spans="1:10" x14ac:dyDescent="0.25">
      <c r="A13">
        <v>0.36666666666666659</v>
      </c>
      <c r="B13">
        <v>12.517427722247691</v>
      </c>
      <c r="C13">
        <v>126.8292239208119</v>
      </c>
      <c r="E13">
        <f t="shared" si="0"/>
        <v>12.517427722247691</v>
      </c>
      <c r="F13">
        <f t="shared" si="1"/>
        <v>126.8292239208119</v>
      </c>
    </row>
    <row r="14" spans="1:10" x14ac:dyDescent="0.25">
      <c r="A14">
        <v>0.4</v>
      </c>
      <c r="B14">
        <v>12.26715319494166</v>
      </c>
      <c r="C14">
        <v>130.57015892242521</v>
      </c>
      <c r="E14">
        <f t="shared" si="0"/>
        <v>12.26715319494166</v>
      </c>
      <c r="F14">
        <f t="shared" si="1"/>
        <v>130.57015892242521</v>
      </c>
    </row>
    <row r="15" spans="1:10" x14ac:dyDescent="0.25">
      <c r="A15">
        <v>0.43333333333333329</v>
      </c>
      <c r="B15">
        <v>12.15633738372696</v>
      </c>
      <c r="C15">
        <v>132.32674466028419</v>
      </c>
      <c r="E15">
        <f t="shared" si="0"/>
        <v>12.15633738372696</v>
      </c>
      <c r="F15">
        <f t="shared" si="1"/>
        <v>132.32674466028419</v>
      </c>
    </row>
    <row r="16" spans="1:10" x14ac:dyDescent="0.25">
      <c r="A16">
        <v>0.46666666666666667</v>
      </c>
      <c r="B16">
        <v>12.15633738372696</v>
      </c>
      <c r="C16">
        <v>132.32578107238211</v>
      </c>
      <c r="E16">
        <f t="shared" si="0"/>
        <v>12.15633738372696</v>
      </c>
      <c r="F16">
        <f t="shared" si="1"/>
        <v>132.32578107238211</v>
      </c>
    </row>
    <row r="17" spans="1:6" x14ac:dyDescent="0.25">
      <c r="A17">
        <v>0.5</v>
      </c>
      <c r="B17">
        <v>11.10215422562449</v>
      </c>
      <c r="C17">
        <v>135.9949184439935</v>
      </c>
      <c r="E17">
        <f t="shared" si="0"/>
        <v>11.10215422562449</v>
      </c>
      <c r="F17">
        <f t="shared" si="1"/>
        <v>135.9949184439935</v>
      </c>
    </row>
    <row r="18" spans="1:6" x14ac:dyDescent="0.25">
      <c r="A18">
        <v>0.53333333333333333</v>
      </c>
      <c r="B18">
        <v>11.10215422562449</v>
      </c>
      <c r="C18">
        <v>137.76236518184939</v>
      </c>
      <c r="E18">
        <f t="shared" si="0"/>
        <v>11.10215422562449</v>
      </c>
      <c r="F18">
        <f t="shared" si="1"/>
        <v>137.76236518184939</v>
      </c>
    </row>
    <row r="19" spans="1:6" x14ac:dyDescent="0.25">
      <c r="A19">
        <v>0.56666666666666665</v>
      </c>
      <c r="B19">
        <v>11.10215422562449</v>
      </c>
      <c r="C19">
        <v>137.76236518184939</v>
      </c>
      <c r="E19">
        <f t="shared" si="0"/>
        <v>11.10215422562449</v>
      </c>
      <c r="F19">
        <f t="shared" si="1"/>
        <v>137.76236518184939</v>
      </c>
    </row>
    <row r="20" spans="1:6" x14ac:dyDescent="0.25">
      <c r="A20">
        <v>0.6</v>
      </c>
      <c r="B20">
        <v>11.16512695770138</v>
      </c>
      <c r="C20">
        <v>141.30514347579501</v>
      </c>
      <c r="E20">
        <f t="shared" si="0"/>
        <v>11.16512695770138</v>
      </c>
      <c r="F20">
        <f t="shared" si="1"/>
        <v>141.30514347579501</v>
      </c>
    </row>
    <row r="21" spans="1:6" x14ac:dyDescent="0.25">
      <c r="A21">
        <v>0.6333333333333333</v>
      </c>
      <c r="B21">
        <v>11.16512695770138</v>
      </c>
      <c r="C21">
        <v>142.98189524791161</v>
      </c>
      <c r="E21">
        <f t="shared" si="0"/>
        <v>11.16512695770138</v>
      </c>
      <c r="F21">
        <f t="shared" si="1"/>
        <v>142.98189524791161</v>
      </c>
    </row>
    <row r="22" spans="1:6" x14ac:dyDescent="0.25">
      <c r="A22">
        <v>0.66666666666666663</v>
      </c>
      <c r="B22">
        <v>11.16512695770138</v>
      </c>
      <c r="C22">
        <v>142.9618496688511</v>
      </c>
      <c r="E22">
        <f t="shared" si="0"/>
        <v>11.16512695770138</v>
      </c>
      <c r="F22">
        <f t="shared" si="1"/>
        <v>142.9618496688511</v>
      </c>
    </row>
    <row r="23" spans="1:6" x14ac:dyDescent="0.25">
      <c r="A23">
        <v>0.7</v>
      </c>
      <c r="B23">
        <v>11.28981579824632</v>
      </c>
      <c r="C23">
        <v>146.36551239484879</v>
      </c>
      <c r="E23">
        <f t="shared" si="0"/>
        <v>11.28981579824632</v>
      </c>
      <c r="F23">
        <f t="shared" si="1"/>
        <v>146.36551239484879</v>
      </c>
    </row>
    <row r="24" spans="1:6" x14ac:dyDescent="0.25">
      <c r="A24">
        <v>0.73333333333333328</v>
      </c>
      <c r="B24">
        <v>11.410864841470371</v>
      </c>
      <c r="C24">
        <v>148.1427178532318</v>
      </c>
      <c r="E24">
        <f t="shared" si="0"/>
        <v>11.410864841470371</v>
      </c>
      <c r="F24">
        <f t="shared" si="1"/>
        <v>148.1427178532318</v>
      </c>
    </row>
    <row r="25" spans="1:6" x14ac:dyDescent="0.25">
      <c r="A25">
        <v>0.76666666666666661</v>
      </c>
      <c r="B25">
        <v>11.410864841470371</v>
      </c>
      <c r="C25">
        <v>148.1427178532318</v>
      </c>
      <c r="E25">
        <f t="shared" si="0"/>
        <v>11.410864841470371</v>
      </c>
      <c r="F25">
        <f t="shared" si="1"/>
        <v>148.1427178532318</v>
      </c>
    </row>
    <row r="26" spans="1:6" x14ac:dyDescent="0.25">
      <c r="A26">
        <v>0.8</v>
      </c>
      <c r="B26">
        <v>11.765206719759179</v>
      </c>
      <c r="C26">
        <v>151.69000037324591</v>
      </c>
      <c r="E26">
        <f t="shared" si="0"/>
        <v>11.765206719759179</v>
      </c>
      <c r="F26">
        <f t="shared" si="1"/>
        <v>151.69000037324591</v>
      </c>
    </row>
    <row r="27" spans="1:6" x14ac:dyDescent="0.25">
      <c r="A27">
        <v>0.83333333333333337</v>
      </c>
      <c r="B27">
        <v>11.85800481619977</v>
      </c>
      <c r="C27">
        <v>153.37016202375111</v>
      </c>
      <c r="E27">
        <f t="shared" si="0"/>
        <v>11.85800481619977</v>
      </c>
      <c r="F27">
        <f t="shared" si="1"/>
        <v>153.37016202375111</v>
      </c>
    </row>
    <row r="28" spans="1:6" x14ac:dyDescent="0.25">
      <c r="A28">
        <v>0.8666666666666667</v>
      </c>
      <c r="B28">
        <v>11.85800481619977</v>
      </c>
      <c r="C28">
        <v>153.36662349243551</v>
      </c>
      <c r="E28">
        <f t="shared" si="0"/>
        <v>11.85800481619977</v>
      </c>
      <c r="F28">
        <f t="shared" si="1"/>
        <v>153.36662349243551</v>
      </c>
    </row>
    <row r="29" spans="1:6" x14ac:dyDescent="0.25">
      <c r="A29">
        <v>0.9</v>
      </c>
      <c r="B29">
        <v>12.504196037934589</v>
      </c>
      <c r="C29">
        <v>156.90162806759571</v>
      </c>
      <c r="E29">
        <f t="shared" si="0"/>
        <v>12.504196037934589</v>
      </c>
      <c r="F29">
        <f t="shared" si="1"/>
        <v>156.90162806759571</v>
      </c>
    </row>
    <row r="30" spans="1:6" x14ac:dyDescent="0.25">
      <c r="A30">
        <v>0.93333333333333335</v>
      </c>
      <c r="B30">
        <v>12.715723181160349</v>
      </c>
      <c r="C30">
        <v>158.66540999323351</v>
      </c>
      <c r="E30">
        <f t="shared" si="0"/>
        <v>12.715723181160349</v>
      </c>
      <c r="F30">
        <f t="shared" si="1"/>
        <v>158.66540999323351</v>
      </c>
    </row>
    <row r="31" spans="1:6" x14ac:dyDescent="0.25">
      <c r="A31">
        <v>0.96666666666666667</v>
      </c>
      <c r="B31">
        <v>12.715723181160349</v>
      </c>
      <c r="C31">
        <v>158.65857772461439</v>
      </c>
      <c r="E31">
        <f t="shared" si="0"/>
        <v>12.715723181160349</v>
      </c>
      <c r="F31">
        <f t="shared" si="1"/>
        <v>158.65857772461439</v>
      </c>
    </row>
    <row r="32" spans="1:6" x14ac:dyDescent="0.25">
      <c r="A32">
        <v>1</v>
      </c>
      <c r="B32">
        <v>13.24191361302606</v>
      </c>
      <c r="C32">
        <v>162.0836712798444</v>
      </c>
      <c r="E32">
        <f t="shared" si="0"/>
        <v>13.24191361302606</v>
      </c>
      <c r="F32">
        <f t="shared" si="1"/>
        <v>162.0836712798444</v>
      </c>
    </row>
    <row r="33" spans="1:6" x14ac:dyDescent="0.25">
      <c r="A33">
        <v>1.033333333333333</v>
      </c>
      <c r="B33">
        <v>13.499732532816189</v>
      </c>
      <c r="C33">
        <v>163.95478117796171</v>
      </c>
      <c r="E33">
        <f t="shared" si="0"/>
        <v>13.499732532816189</v>
      </c>
      <c r="F33">
        <f t="shared" si="1"/>
        <v>163.95478117796171</v>
      </c>
    </row>
    <row r="34" spans="1:6" x14ac:dyDescent="0.25">
      <c r="A34">
        <v>1.0666666666666671</v>
      </c>
      <c r="B34">
        <v>13.499732532816189</v>
      </c>
      <c r="C34">
        <v>163.95166299654201</v>
      </c>
      <c r="E34">
        <f t="shared" si="0"/>
        <v>13.499732532816189</v>
      </c>
      <c r="F34">
        <f t="shared" si="1"/>
        <v>163.95166299654201</v>
      </c>
    </row>
    <row r="35" spans="1:6" x14ac:dyDescent="0.25">
      <c r="A35">
        <v>1.1000000000000001</v>
      </c>
      <c r="B35">
        <v>14.334713635234889</v>
      </c>
      <c r="C35">
        <v>167.35502064166451</v>
      </c>
      <c r="E35">
        <f t="shared" si="0"/>
        <v>14.334713635234889</v>
      </c>
      <c r="F35">
        <f t="shared" si="1"/>
        <v>167.35502064166451</v>
      </c>
    </row>
    <row r="36" spans="1:6" x14ac:dyDescent="0.25">
      <c r="A36">
        <v>1.1333333333333331</v>
      </c>
      <c r="B36">
        <v>14.671613373582311</v>
      </c>
      <c r="C36">
        <v>169.16947251758151</v>
      </c>
      <c r="E36">
        <f t="shared" si="0"/>
        <v>14.671613373582311</v>
      </c>
      <c r="F36">
        <f t="shared" si="1"/>
        <v>169.16947251758151</v>
      </c>
    </row>
    <row r="37" spans="1:6" x14ac:dyDescent="0.25">
      <c r="A37">
        <v>1.166666666666667</v>
      </c>
      <c r="B37">
        <v>14.671613373582311</v>
      </c>
      <c r="C37">
        <v>169.16947251758151</v>
      </c>
      <c r="E37">
        <f t="shared" si="0"/>
        <v>14.671613373582311</v>
      </c>
      <c r="F37">
        <f t="shared" si="1"/>
        <v>169.16947251758151</v>
      </c>
    </row>
    <row r="38" spans="1:6" x14ac:dyDescent="0.25">
      <c r="A38">
        <v>1.2</v>
      </c>
      <c r="B38">
        <v>15.523898974671591</v>
      </c>
      <c r="C38">
        <v>172.75120492653721</v>
      </c>
      <c r="E38">
        <f t="shared" si="0"/>
        <v>15.523898974671591</v>
      </c>
      <c r="F38">
        <f t="shared" si="1"/>
        <v>172.75120492653721</v>
      </c>
    </row>
    <row r="39" spans="1:6" x14ac:dyDescent="0.25">
      <c r="A39">
        <v>1.2333333333333329</v>
      </c>
      <c r="B39">
        <v>15.844407789040901</v>
      </c>
      <c r="C39">
        <v>174.39851746638519</v>
      </c>
      <c r="E39">
        <f t="shared" si="0"/>
        <v>15.844407789040901</v>
      </c>
      <c r="F39">
        <f t="shared" si="1"/>
        <v>174.39851746638519</v>
      </c>
    </row>
    <row r="40" spans="1:6" x14ac:dyDescent="0.25">
      <c r="A40">
        <v>1.2666666666666671</v>
      </c>
      <c r="B40">
        <v>15.844407789040901</v>
      </c>
      <c r="C40">
        <v>174.39539468074969</v>
      </c>
      <c r="E40">
        <f t="shared" si="0"/>
        <v>15.844407789040901</v>
      </c>
      <c r="F40">
        <f t="shared" si="1"/>
        <v>174.39539468074969</v>
      </c>
    </row>
    <row r="41" spans="1:6" x14ac:dyDescent="0.25">
      <c r="A41">
        <v>1.3</v>
      </c>
      <c r="B41">
        <v>16.937572932940341</v>
      </c>
      <c r="C41">
        <v>177.96877973818701</v>
      </c>
      <c r="E41">
        <f t="shared" si="0"/>
        <v>16.937572932940341</v>
      </c>
      <c r="F41">
        <f t="shared" si="1"/>
        <v>177.96877973818701</v>
      </c>
    </row>
    <row r="42" spans="1:6" x14ac:dyDescent="0.25">
      <c r="A42">
        <v>1.333333333333333</v>
      </c>
      <c r="B42">
        <v>17.522897389304521</v>
      </c>
      <c r="C42">
        <v>179.96370405013809</v>
      </c>
      <c r="E42">
        <f t="shared" si="0"/>
        <v>17.522897389304521</v>
      </c>
      <c r="F42">
        <f t="shared" si="1"/>
        <v>179.96370405013809</v>
      </c>
    </row>
    <row r="43" spans="1:6" x14ac:dyDescent="0.25">
      <c r="A43">
        <v>1.3666666666666669</v>
      </c>
      <c r="B43">
        <v>17.522897389304521</v>
      </c>
      <c r="C43">
        <v>179.9677091657822</v>
      </c>
      <c r="E43">
        <f t="shared" si="0"/>
        <v>17.522897389304521</v>
      </c>
      <c r="F43">
        <f t="shared" si="1"/>
        <v>179.9677091657822</v>
      </c>
    </row>
    <row r="44" spans="1:6" x14ac:dyDescent="0.25">
      <c r="A44">
        <v>1.4</v>
      </c>
      <c r="B44">
        <v>18.389249027086031</v>
      </c>
      <c r="C44">
        <v>-176.59012157599119</v>
      </c>
      <c r="E44">
        <f t="shared" si="0"/>
        <v>18.389249027086031</v>
      </c>
      <c r="F44">
        <f t="shared" si="1"/>
        <v>183.40987842400881</v>
      </c>
    </row>
    <row r="45" spans="1:6" x14ac:dyDescent="0.25">
      <c r="A45">
        <v>1.4333333333333329</v>
      </c>
      <c r="B45">
        <v>19.689582201326839</v>
      </c>
      <c r="C45">
        <v>-174.9971781841698</v>
      </c>
      <c r="E45">
        <f t="shared" si="0"/>
        <v>19.689582201326839</v>
      </c>
      <c r="F45">
        <f t="shared" si="1"/>
        <v>185.0028218158302</v>
      </c>
    </row>
    <row r="46" spans="1:6" x14ac:dyDescent="0.25">
      <c r="A46">
        <v>1.466666666666667</v>
      </c>
      <c r="B46">
        <v>19.689582201326839</v>
      </c>
      <c r="C46">
        <v>-175.01491438431131</v>
      </c>
      <c r="E46">
        <f t="shared" si="0"/>
        <v>19.689582201326839</v>
      </c>
      <c r="F46">
        <f t="shared" si="1"/>
        <v>184.98508561568869</v>
      </c>
    </row>
    <row r="47" spans="1:6" x14ac:dyDescent="0.25">
      <c r="A47">
        <v>1.5</v>
      </c>
      <c r="B47">
        <v>20.123043127871409</v>
      </c>
      <c r="C47">
        <v>-171.38945231969191</v>
      </c>
      <c r="E47">
        <f t="shared" si="0"/>
        <v>20.123043127871409</v>
      </c>
      <c r="F47">
        <f t="shared" si="1"/>
        <v>188.61054768030809</v>
      </c>
    </row>
    <row r="48" spans="1:6" x14ac:dyDescent="0.25">
      <c r="A48">
        <v>1.533333333333333</v>
      </c>
      <c r="B48">
        <v>21.324055603706149</v>
      </c>
      <c r="C48">
        <v>-169.44311436991549</v>
      </c>
      <c r="E48">
        <f t="shared" si="0"/>
        <v>21.324055603706149</v>
      </c>
      <c r="F48">
        <f t="shared" si="1"/>
        <v>190.55688563008451</v>
      </c>
    </row>
    <row r="49" spans="1:6" x14ac:dyDescent="0.25">
      <c r="A49">
        <v>1.5666666666666671</v>
      </c>
      <c r="B49">
        <v>21.324055603706149</v>
      </c>
      <c r="C49">
        <v>-169.46195517190819</v>
      </c>
      <c r="E49">
        <f t="shared" si="0"/>
        <v>21.324055603706149</v>
      </c>
      <c r="F49">
        <f t="shared" si="1"/>
        <v>190.53804482809181</v>
      </c>
    </row>
    <row r="50" spans="1:6" x14ac:dyDescent="0.25">
      <c r="A50">
        <v>1.6</v>
      </c>
      <c r="B50">
        <v>22.573110454680329</v>
      </c>
      <c r="C50">
        <v>-165.83046514668851</v>
      </c>
      <c r="E50">
        <f t="shared" si="0"/>
        <v>22.573110454680329</v>
      </c>
      <c r="F50">
        <f t="shared" si="1"/>
        <v>194.16953485331149</v>
      </c>
    </row>
    <row r="51" spans="1:6" x14ac:dyDescent="0.25">
      <c r="A51">
        <v>1.6333333333333331</v>
      </c>
      <c r="B51">
        <v>23.421779690212809</v>
      </c>
      <c r="C51">
        <v>-164.15702350174959</v>
      </c>
      <c r="E51">
        <f t="shared" si="0"/>
        <v>23.421779690212809</v>
      </c>
      <c r="F51">
        <f t="shared" si="1"/>
        <v>195.84297649825041</v>
      </c>
    </row>
    <row r="52" spans="1:6" x14ac:dyDescent="0.25">
      <c r="A52">
        <v>1.666666666666667</v>
      </c>
      <c r="B52">
        <v>23.421779690212809</v>
      </c>
      <c r="C52">
        <v>-164.15071233420659</v>
      </c>
      <c r="E52">
        <f t="shared" si="0"/>
        <v>23.421779690212809</v>
      </c>
      <c r="F52">
        <f t="shared" si="1"/>
        <v>195.84928766579341</v>
      </c>
    </row>
    <row r="53" spans="1:6" x14ac:dyDescent="0.25">
      <c r="A53">
        <v>1.7</v>
      </c>
      <c r="B53">
        <v>24.77122653580598</v>
      </c>
      <c r="C53">
        <v>-160.43849025250989</v>
      </c>
      <c r="E53">
        <f t="shared" si="0"/>
        <v>24.77122653580598</v>
      </c>
      <c r="F53">
        <f t="shared" si="1"/>
        <v>199.56150974749011</v>
      </c>
    </row>
    <row r="54" spans="1:6" x14ac:dyDescent="0.25">
      <c r="A54">
        <v>1.7333333333333329</v>
      </c>
      <c r="B54">
        <v>25.557275109928419</v>
      </c>
      <c r="C54">
        <v>-158.61562048504169</v>
      </c>
      <c r="E54">
        <f t="shared" si="0"/>
        <v>25.557275109928419</v>
      </c>
      <c r="F54">
        <f t="shared" si="1"/>
        <v>201.38437951495831</v>
      </c>
    </row>
    <row r="55" spans="1:6" x14ac:dyDescent="0.25">
      <c r="A55">
        <v>1.7666666666666671</v>
      </c>
      <c r="B55">
        <v>25.557275109928419</v>
      </c>
      <c r="C55">
        <v>-158.6100067775634</v>
      </c>
      <c r="E55">
        <f t="shared" si="0"/>
        <v>25.557275109928419</v>
      </c>
      <c r="F55">
        <f t="shared" si="1"/>
        <v>201.3899932224366</v>
      </c>
    </row>
    <row r="56" spans="1:6" x14ac:dyDescent="0.25">
      <c r="A56">
        <v>1.8</v>
      </c>
      <c r="B56">
        <v>26.801894663300509</v>
      </c>
      <c r="C56">
        <v>-154.99204307070499</v>
      </c>
      <c r="E56">
        <f t="shared" si="0"/>
        <v>26.801894663300509</v>
      </c>
      <c r="F56">
        <f t="shared" si="1"/>
        <v>205.00795692929501</v>
      </c>
    </row>
    <row r="57" spans="1:6" x14ac:dyDescent="0.25">
      <c r="A57">
        <v>1.833333333333333</v>
      </c>
      <c r="B57">
        <v>27.563135116545681</v>
      </c>
      <c r="C57">
        <v>-153.1700233139201</v>
      </c>
      <c r="E57">
        <f t="shared" si="0"/>
        <v>27.563135116545681</v>
      </c>
      <c r="F57">
        <f t="shared" si="1"/>
        <v>206.8299766860799</v>
      </c>
    </row>
    <row r="58" spans="1:6" x14ac:dyDescent="0.25">
      <c r="A58">
        <v>1.8666666666666669</v>
      </c>
      <c r="B58">
        <v>27.563135116545681</v>
      </c>
      <c r="C58">
        <v>-153.1816036373491</v>
      </c>
      <c r="E58">
        <f t="shared" si="0"/>
        <v>27.563135116545681</v>
      </c>
      <c r="F58">
        <f t="shared" si="1"/>
        <v>206.8183963626509</v>
      </c>
    </row>
    <row r="59" spans="1:6" x14ac:dyDescent="0.25">
      <c r="A59">
        <v>1.9</v>
      </c>
      <c r="B59">
        <v>29.06085740475249</v>
      </c>
      <c r="C59">
        <v>-149.39815986134599</v>
      </c>
      <c r="E59">
        <f t="shared" si="0"/>
        <v>29.06085740475249</v>
      </c>
      <c r="F59">
        <f t="shared" si="1"/>
        <v>210.60184013865401</v>
      </c>
    </row>
    <row r="60" spans="1:6" x14ac:dyDescent="0.25">
      <c r="A60">
        <v>1.9333333333333329</v>
      </c>
      <c r="B60">
        <v>29.851443868251991</v>
      </c>
      <c r="C60">
        <v>-147.54430216865561</v>
      </c>
      <c r="E60">
        <f t="shared" si="0"/>
        <v>29.851443868251991</v>
      </c>
      <c r="F60">
        <f t="shared" si="1"/>
        <v>212.45569783134439</v>
      </c>
    </row>
    <row r="61" spans="1:6" x14ac:dyDescent="0.25">
      <c r="A61">
        <v>1.966666666666667</v>
      </c>
      <c r="B61">
        <v>29.851443868251991</v>
      </c>
      <c r="C61">
        <v>-147.54430216865561</v>
      </c>
      <c r="E61">
        <f t="shared" si="0"/>
        <v>29.851443868251991</v>
      </c>
      <c r="F61">
        <f t="shared" si="1"/>
        <v>212.45569783134439</v>
      </c>
    </row>
    <row r="62" spans="1:6" x14ac:dyDescent="0.25">
      <c r="A62">
        <v>2</v>
      </c>
      <c r="B62">
        <v>31.516689774408722</v>
      </c>
      <c r="C62">
        <v>-143.8705785377669</v>
      </c>
      <c r="E62">
        <f t="shared" si="0"/>
        <v>31.516689774408722</v>
      </c>
      <c r="F62">
        <f t="shared" si="1"/>
        <v>216.1294214622331</v>
      </c>
    </row>
    <row r="63" spans="1:6" x14ac:dyDescent="0.25">
      <c r="A63">
        <v>2.0333333333333332</v>
      </c>
      <c r="B63">
        <v>32.351485222725138</v>
      </c>
      <c r="C63">
        <v>-141.90727551714841</v>
      </c>
      <c r="E63">
        <f t="shared" si="0"/>
        <v>32.351485222725138</v>
      </c>
      <c r="F63">
        <f t="shared" si="1"/>
        <v>218.09272448285159</v>
      </c>
    </row>
    <row r="64" spans="1:6" x14ac:dyDescent="0.25">
      <c r="A64">
        <v>2.066666666666666</v>
      </c>
      <c r="B64">
        <v>32.351485222725138</v>
      </c>
      <c r="C64">
        <v>-141.89871975749369</v>
      </c>
      <c r="E64">
        <f t="shared" si="0"/>
        <v>32.351485222725138</v>
      </c>
      <c r="F64">
        <f t="shared" si="1"/>
        <v>218.10128024250631</v>
      </c>
    </row>
    <row r="65" spans="1:6" x14ac:dyDescent="0.25">
      <c r="A65">
        <v>2.1</v>
      </c>
      <c r="B65">
        <v>33.94938163670156</v>
      </c>
      <c r="C65">
        <v>-138.1024306545122</v>
      </c>
      <c r="E65">
        <f t="shared" si="0"/>
        <v>33.94938163670156</v>
      </c>
      <c r="F65">
        <f t="shared" si="1"/>
        <v>221.8975693454878</v>
      </c>
    </row>
    <row r="66" spans="1:6" x14ac:dyDescent="0.25">
      <c r="A66">
        <v>2.1333333333333329</v>
      </c>
      <c r="B66">
        <v>34.591984026867692</v>
      </c>
      <c r="C66">
        <v>-136.2155104157265</v>
      </c>
      <c r="E66">
        <f t="shared" si="0"/>
        <v>34.591984026867692</v>
      </c>
      <c r="F66">
        <f t="shared" si="1"/>
        <v>223.7844895842735</v>
      </c>
    </row>
    <row r="67" spans="1:6" x14ac:dyDescent="0.25">
      <c r="A67">
        <v>2.166666666666667</v>
      </c>
      <c r="B67">
        <v>34.591984026867692</v>
      </c>
      <c r="C67">
        <v>-136.23430755952691</v>
      </c>
      <c r="E67">
        <f t="shared" ref="E67:E130" si="2">IF(B67&gt;=0, B67,  B67 + 360)</f>
        <v>34.591984026867692</v>
      </c>
      <c r="F67">
        <f t="shared" ref="F67:F130" si="3">IF(C67&gt;=0, C67,  C67 + 360)</f>
        <v>223.76569244047309</v>
      </c>
    </row>
    <row r="68" spans="1:6" x14ac:dyDescent="0.25">
      <c r="A68">
        <v>2.2000000000000002</v>
      </c>
      <c r="B68">
        <v>36.11658192987715</v>
      </c>
      <c r="C68">
        <v>-132.2089209642258</v>
      </c>
      <c r="E68">
        <f t="shared" si="2"/>
        <v>36.11658192987715</v>
      </c>
      <c r="F68">
        <f t="shared" si="3"/>
        <v>227.7910790357742</v>
      </c>
    </row>
    <row r="69" spans="1:6" x14ac:dyDescent="0.25">
      <c r="A69">
        <v>2.2333333333333329</v>
      </c>
      <c r="B69">
        <v>36.721051525179931</v>
      </c>
      <c r="C69">
        <v>-130.3015588512724</v>
      </c>
      <c r="E69">
        <f t="shared" si="2"/>
        <v>36.721051525179931</v>
      </c>
      <c r="F69">
        <f t="shared" si="3"/>
        <v>229.6984411487276</v>
      </c>
    </row>
    <row r="70" spans="1:6" x14ac:dyDescent="0.25">
      <c r="A70">
        <v>2.2666666666666671</v>
      </c>
      <c r="B70">
        <v>36.749925466878253</v>
      </c>
      <c r="C70">
        <v>-130.31609968386289</v>
      </c>
      <c r="E70">
        <f t="shared" si="2"/>
        <v>36.749925466878253</v>
      </c>
      <c r="F70">
        <f t="shared" si="3"/>
        <v>229.68390031613711</v>
      </c>
    </row>
    <row r="71" spans="1:6" x14ac:dyDescent="0.25">
      <c r="A71">
        <v>2.2999999999999998</v>
      </c>
      <c r="B71">
        <v>38.15859882543873</v>
      </c>
      <c r="C71">
        <v>-126.0647746000467</v>
      </c>
      <c r="E71">
        <f t="shared" si="2"/>
        <v>38.15859882543873</v>
      </c>
      <c r="F71">
        <f t="shared" si="3"/>
        <v>233.93522539995331</v>
      </c>
    </row>
    <row r="72" spans="1:6" x14ac:dyDescent="0.25">
      <c r="A72">
        <v>2.333333333333333</v>
      </c>
      <c r="B72">
        <v>38.899702219598659</v>
      </c>
      <c r="C72">
        <v>-124.19446775444599</v>
      </c>
      <c r="E72">
        <f t="shared" si="2"/>
        <v>38.899702219598659</v>
      </c>
      <c r="F72">
        <f t="shared" si="3"/>
        <v>235.80553224555399</v>
      </c>
    </row>
    <row r="73" spans="1:6" x14ac:dyDescent="0.25">
      <c r="A73">
        <v>2.3666666666666671</v>
      </c>
      <c r="B73">
        <v>38.899702219598659</v>
      </c>
      <c r="C73">
        <v>-124.174165888551</v>
      </c>
      <c r="E73">
        <f t="shared" si="2"/>
        <v>38.899702219598659</v>
      </c>
      <c r="F73">
        <f t="shared" si="3"/>
        <v>235.82583411144901</v>
      </c>
    </row>
    <row r="74" spans="1:6" x14ac:dyDescent="0.25">
      <c r="A74">
        <v>2.4</v>
      </c>
      <c r="B74">
        <v>40.259217028009289</v>
      </c>
      <c r="C74">
        <v>-120.2326114223614</v>
      </c>
      <c r="E74">
        <f t="shared" si="2"/>
        <v>40.259217028009289</v>
      </c>
      <c r="F74">
        <f t="shared" si="3"/>
        <v>239.7673885776386</v>
      </c>
    </row>
    <row r="75" spans="1:6" x14ac:dyDescent="0.25">
      <c r="A75">
        <v>2.4333333333333331</v>
      </c>
      <c r="B75">
        <v>41.008001578145581</v>
      </c>
      <c r="C75">
        <v>-118.4244872213597</v>
      </c>
      <c r="E75">
        <f t="shared" si="2"/>
        <v>41.008001578145581</v>
      </c>
      <c r="F75">
        <f t="shared" si="3"/>
        <v>241.5755127786403</v>
      </c>
    </row>
    <row r="76" spans="1:6" x14ac:dyDescent="0.25">
      <c r="A76">
        <v>2.4666666666666668</v>
      </c>
      <c r="B76">
        <v>41.008001578145581</v>
      </c>
      <c r="C76">
        <v>-118.4244872213597</v>
      </c>
      <c r="E76">
        <f t="shared" si="2"/>
        <v>41.008001578145581</v>
      </c>
      <c r="F76">
        <f t="shared" si="3"/>
        <v>241.5755127786403</v>
      </c>
    </row>
    <row r="77" spans="1:6" x14ac:dyDescent="0.25">
      <c r="A77">
        <v>2.5</v>
      </c>
      <c r="B77">
        <v>42.644689897666296</v>
      </c>
      <c r="C77">
        <v>-114.1294676337921</v>
      </c>
      <c r="E77">
        <f t="shared" si="2"/>
        <v>42.644689897666296</v>
      </c>
      <c r="F77">
        <f t="shared" si="3"/>
        <v>245.8705323662079</v>
      </c>
    </row>
    <row r="78" spans="1:6" x14ac:dyDescent="0.25">
      <c r="A78">
        <v>2.5333333333333332</v>
      </c>
      <c r="B78">
        <v>43.250625771334363</v>
      </c>
      <c r="C78">
        <v>-111.487537324651</v>
      </c>
      <c r="E78">
        <f t="shared" si="2"/>
        <v>43.250625771334363</v>
      </c>
      <c r="F78">
        <f t="shared" si="3"/>
        <v>248.51246267534901</v>
      </c>
    </row>
    <row r="79" spans="1:6" x14ac:dyDescent="0.25">
      <c r="A79">
        <v>2.566666666666666</v>
      </c>
      <c r="B79">
        <v>43.250625771334363</v>
      </c>
      <c r="C79">
        <v>-111.5656849962533</v>
      </c>
      <c r="E79">
        <f t="shared" si="2"/>
        <v>43.250625771334363</v>
      </c>
      <c r="F79">
        <f t="shared" si="3"/>
        <v>248.43431500374669</v>
      </c>
    </row>
    <row r="80" spans="1:6" x14ac:dyDescent="0.25">
      <c r="A80">
        <v>2.6</v>
      </c>
      <c r="B80">
        <v>44.822976715178172</v>
      </c>
      <c r="C80">
        <v>-105.76410632979891</v>
      </c>
      <c r="E80">
        <f t="shared" si="2"/>
        <v>44.822976715178172</v>
      </c>
      <c r="F80">
        <f t="shared" si="3"/>
        <v>254.23589367020111</v>
      </c>
    </row>
    <row r="81" spans="1:6" x14ac:dyDescent="0.25">
      <c r="A81">
        <v>2.6333333333333329</v>
      </c>
      <c r="B81">
        <v>45.939900566430509</v>
      </c>
      <c r="C81">
        <v>-103.5034099160156</v>
      </c>
      <c r="E81">
        <f t="shared" si="2"/>
        <v>45.939900566430509</v>
      </c>
      <c r="F81">
        <f t="shared" si="3"/>
        <v>256.49659008398442</v>
      </c>
    </row>
    <row r="82" spans="1:6" x14ac:dyDescent="0.25">
      <c r="A82">
        <v>2.666666666666667</v>
      </c>
      <c r="B82">
        <v>45.939900566430509</v>
      </c>
      <c r="C82">
        <v>-103.3011533576622</v>
      </c>
      <c r="E82">
        <f t="shared" si="2"/>
        <v>45.939900566430509</v>
      </c>
      <c r="F82">
        <f t="shared" si="3"/>
        <v>256.6988466423378</v>
      </c>
    </row>
    <row r="83" spans="1:6" x14ac:dyDescent="0.25">
      <c r="A83">
        <v>2.7</v>
      </c>
      <c r="B83">
        <v>49.161440646538473</v>
      </c>
      <c r="C83">
        <v>-96.097687983871239</v>
      </c>
      <c r="E83">
        <f t="shared" si="2"/>
        <v>49.161440646538473</v>
      </c>
      <c r="F83">
        <f t="shared" si="3"/>
        <v>263.90231201612875</v>
      </c>
    </row>
    <row r="84" spans="1:6" x14ac:dyDescent="0.25">
      <c r="A84">
        <v>2.7333333333333329</v>
      </c>
      <c r="B84">
        <v>51.516485264144563</v>
      </c>
      <c r="C84">
        <v>-88.589886642713765</v>
      </c>
      <c r="E84">
        <f t="shared" si="2"/>
        <v>51.516485264144563</v>
      </c>
      <c r="F84">
        <f t="shared" si="3"/>
        <v>271.41011335728626</v>
      </c>
    </row>
    <row r="85" spans="1:6" x14ac:dyDescent="0.25">
      <c r="A85">
        <v>2.7666666666666671</v>
      </c>
      <c r="B85">
        <v>51.516485264144563</v>
      </c>
      <c r="C85">
        <v>-89.016140032797097</v>
      </c>
      <c r="E85">
        <f t="shared" si="2"/>
        <v>51.516485264144563</v>
      </c>
      <c r="F85">
        <f t="shared" si="3"/>
        <v>270.98385996720287</v>
      </c>
    </row>
    <row r="86" spans="1:6" x14ac:dyDescent="0.25">
      <c r="A86">
        <v>2.8</v>
      </c>
    </row>
    <row r="87" spans="1:6" x14ac:dyDescent="0.25">
      <c r="A87">
        <v>2.833333333333333</v>
      </c>
    </row>
    <row r="88" spans="1:6" x14ac:dyDescent="0.25">
      <c r="A88">
        <v>2.8666666666666671</v>
      </c>
    </row>
    <row r="89" spans="1:6" x14ac:dyDescent="0.25">
      <c r="A89">
        <v>2.9</v>
      </c>
    </row>
    <row r="90" spans="1:6" x14ac:dyDescent="0.25">
      <c r="A90">
        <v>2.9333333333333331</v>
      </c>
    </row>
    <row r="91" spans="1:6" x14ac:dyDescent="0.25">
      <c r="A91">
        <v>2.9666666666666668</v>
      </c>
    </row>
    <row r="92" spans="1:6" x14ac:dyDescent="0.25">
      <c r="A92">
        <v>3</v>
      </c>
    </row>
    <row r="93" spans="1:6" x14ac:dyDescent="0.25">
      <c r="A93">
        <v>3.0333333333333332</v>
      </c>
    </row>
    <row r="94" spans="1:6" x14ac:dyDescent="0.25">
      <c r="A94">
        <v>3.066666666666666</v>
      </c>
    </row>
    <row r="95" spans="1:6" x14ac:dyDescent="0.25">
      <c r="A95">
        <v>3.1</v>
      </c>
    </row>
    <row r="96" spans="1:6" x14ac:dyDescent="0.25">
      <c r="A96">
        <v>3.1333333333333329</v>
      </c>
    </row>
    <row r="97" spans="1:6" x14ac:dyDescent="0.25">
      <c r="A97">
        <v>3.166666666666667</v>
      </c>
    </row>
    <row r="98" spans="1:6" x14ac:dyDescent="0.25">
      <c r="A98">
        <v>3.2</v>
      </c>
    </row>
    <row r="99" spans="1:6" x14ac:dyDescent="0.25">
      <c r="A99">
        <v>3.2333333333333329</v>
      </c>
    </row>
    <row r="100" spans="1:6" x14ac:dyDescent="0.25">
      <c r="A100">
        <v>3.2666666666666671</v>
      </c>
    </row>
    <row r="101" spans="1:6" x14ac:dyDescent="0.25">
      <c r="A101">
        <v>3.3</v>
      </c>
    </row>
    <row r="102" spans="1:6" x14ac:dyDescent="0.25">
      <c r="A102">
        <v>3.333333333333333</v>
      </c>
    </row>
    <row r="103" spans="1:6" x14ac:dyDescent="0.25">
      <c r="A103">
        <v>3.3666666666666671</v>
      </c>
    </row>
    <row r="104" spans="1:6" x14ac:dyDescent="0.25">
      <c r="A104">
        <v>3.4</v>
      </c>
    </row>
    <row r="105" spans="1:6" x14ac:dyDescent="0.25">
      <c r="A105">
        <v>3.4333333333333331</v>
      </c>
    </row>
    <row r="106" spans="1:6" x14ac:dyDescent="0.25">
      <c r="A106">
        <v>3.4666666666666668</v>
      </c>
    </row>
    <row r="107" spans="1:6" x14ac:dyDescent="0.25">
      <c r="A107">
        <v>3.5</v>
      </c>
      <c r="B107">
        <v>57.4864797473899</v>
      </c>
      <c r="C107">
        <v>-116.6504311860747</v>
      </c>
      <c r="E107">
        <f t="shared" si="2"/>
        <v>57.4864797473899</v>
      </c>
      <c r="F107">
        <f t="shared" si="3"/>
        <v>243.34956881392532</v>
      </c>
    </row>
    <row r="108" spans="1:6" x14ac:dyDescent="0.25">
      <c r="A108">
        <v>3.5333333333333332</v>
      </c>
    </row>
    <row r="109" spans="1:6" x14ac:dyDescent="0.25">
      <c r="A109">
        <v>3.566666666666666</v>
      </c>
    </row>
    <row r="110" spans="1:6" x14ac:dyDescent="0.25">
      <c r="A110">
        <v>3.6</v>
      </c>
      <c r="B110">
        <v>56.928199816651073</v>
      </c>
      <c r="C110">
        <v>-71.477923711993398</v>
      </c>
      <c r="E110">
        <f t="shared" si="2"/>
        <v>56.928199816651073</v>
      </c>
      <c r="F110">
        <f t="shared" si="3"/>
        <v>288.52207628800659</v>
      </c>
    </row>
    <row r="111" spans="1:6" x14ac:dyDescent="0.25">
      <c r="A111">
        <v>3.6333333333333329</v>
      </c>
      <c r="B111">
        <v>56.816186432190861</v>
      </c>
      <c r="C111">
        <v>-63.703648630856449</v>
      </c>
      <c r="E111">
        <f t="shared" si="2"/>
        <v>56.816186432190861</v>
      </c>
      <c r="F111">
        <f t="shared" si="3"/>
        <v>296.29635136914357</v>
      </c>
    </row>
    <row r="112" spans="1:6" x14ac:dyDescent="0.25">
      <c r="A112">
        <v>3.666666666666667</v>
      </c>
      <c r="B112">
        <v>56.816186432190861</v>
      </c>
      <c r="C112">
        <v>-61.310147181525132</v>
      </c>
      <c r="E112">
        <f t="shared" si="2"/>
        <v>56.816186432190861</v>
      </c>
      <c r="F112">
        <f t="shared" si="3"/>
        <v>298.68985281847489</v>
      </c>
    </row>
    <row r="113" spans="1:6" x14ac:dyDescent="0.25">
      <c r="A113">
        <v>3.7</v>
      </c>
      <c r="B113">
        <v>56.503418726993807</v>
      </c>
      <c r="C113">
        <v>-52.770337078566307</v>
      </c>
      <c r="E113">
        <f t="shared" si="2"/>
        <v>56.503418726993807</v>
      </c>
      <c r="F113">
        <f t="shared" si="3"/>
        <v>307.22966292143371</v>
      </c>
    </row>
    <row r="114" spans="1:6" x14ac:dyDescent="0.25">
      <c r="A114">
        <v>3.7333333333333329</v>
      </c>
      <c r="B114">
        <v>56.503418726993807</v>
      </c>
      <c r="C114">
        <v>-44.677521870286178</v>
      </c>
      <c r="E114">
        <f t="shared" si="2"/>
        <v>56.503418726993807</v>
      </c>
      <c r="F114">
        <f t="shared" si="3"/>
        <v>315.32247812971383</v>
      </c>
    </row>
    <row r="115" spans="1:6" x14ac:dyDescent="0.25">
      <c r="A115">
        <v>3.7666666666666671</v>
      </c>
      <c r="B115">
        <v>56.503418726993807</v>
      </c>
      <c r="C115">
        <v>-44.607673797656261</v>
      </c>
      <c r="E115">
        <f t="shared" si="2"/>
        <v>56.503418726993807</v>
      </c>
      <c r="F115">
        <f t="shared" si="3"/>
        <v>315.39232620234372</v>
      </c>
    </row>
    <row r="116" spans="1:6" x14ac:dyDescent="0.25">
      <c r="A116">
        <v>3.8</v>
      </c>
      <c r="B116">
        <v>55.962404308407613</v>
      </c>
      <c r="C116">
        <v>-41.737095513242863</v>
      </c>
      <c r="E116">
        <f t="shared" si="2"/>
        <v>55.962404308407613</v>
      </c>
      <c r="F116">
        <f t="shared" si="3"/>
        <v>318.26290448675712</v>
      </c>
    </row>
    <row r="117" spans="1:6" x14ac:dyDescent="0.25">
      <c r="A117">
        <v>3.833333333333333</v>
      </c>
      <c r="B117">
        <v>56.160004143029298</v>
      </c>
      <c r="C117">
        <v>-51.093615132650733</v>
      </c>
      <c r="E117">
        <f t="shared" si="2"/>
        <v>56.160004143029298</v>
      </c>
      <c r="F117">
        <f t="shared" si="3"/>
        <v>308.90638486734929</v>
      </c>
    </row>
    <row r="118" spans="1:6" x14ac:dyDescent="0.25">
      <c r="A118">
        <v>3.8666666666666671</v>
      </c>
      <c r="B118">
        <v>56.160004143029298</v>
      </c>
      <c r="C118">
        <v>-51.049823235627002</v>
      </c>
      <c r="E118">
        <f t="shared" si="2"/>
        <v>56.160004143029298</v>
      </c>
      <c r="F118">
        <f t="shared" si="3"/>
        <v>308.950176764373</v>
      </c>
    </row>
    <row r="119" spans="1:6" x14ac:dyDescent="0.25">
      <c r="A119">
        <v>3.9</v>
      </c>
      <c r="B119">
        <v>55.893474707128497</v>
      </c>
      <c r="C119">
        <v>-32.603940503569127</v>
      </c>
      <c r="E119">
        <f t="shared" si="2"/>
        <v>55.893474707128497</v>
      </c>
      <c r="F119">
        <f t="shared" si="3"/>
        <v>327.39605949643089</v>
      </c>
    </row>
    <row r="120" spans="1:6" x14ac:dyDescent="0.25">
      <c r="A120">
        <v>3.9333333333333331</v>
      </c>
      <c r="B120">
        <v>55.845552486743571</v>
      </c>
      <c r="C120">
        <v>-29.138682297130931</v>
      </c>
      <c r="E120">
        <f t="shared" si="2"/>
        <v>55.845552486743571</v>
      </c>
      <c r="F120">
        <f t="shared" si="3"/>
        <v>330.86131770286909</v>
      </c>
    </row>
    <row r="121" spans="1:6" x14ac:dyDescent="0.25">
      <c r="A121">
        <v>3.9666666666666668</v>
      </c>
      <c r="B121">
        <v>55.845552486743571</v>
      </c>
      <c r="C121">
        <v>-29.138682297130931</v>
      </c>
      <c r="E121">
        <f t="shared" si="2"/>
        <v>55.845552486743571</v>
      </c>
      <c r="F121">
        <f t="shared" si="3"/>
        <v>330.86131770286909</v>
      </c>
    </row>
    <row r="122" spans="1:6" x14ac:dyDescent="0.25">
      <c r="A122">
        <v>4</v>
      </c>
      <c r="B122">
        <v>55.573340505081973</v>
      </c>
      <c r="C122">
        <v>-24.759619299732481</v>
      </c>
      <c r="E122">
        <f t="shared" si="2"/>
        <v>55.573340505081973</v>
      </c>
      <c r="F122">
        <f t="shared" si="3"/>
        <v>335.24038070026751</v>
      </c>
    </row>
    <row r="123" spans="1:6" x14ac:dyDescent="0.25">
      <c r="A123">
        <v>4.0333333333333332</v>
      </c>
      <c r="B123">
        <v>55.256445709417747</v>
      </c>
      <c r="C123">
        <v>-23.318338956230519</v>
      </c>
      <c r="E123">
        <f t="shared" si="2"/>
        <v>55.256445709417747</v>
      </c>
      <c r="F123">
        <f t="shared" si="3"/>
        <v>336.68166104376951</v>
      </c>
    </row>
    <row r="124" spans="1:6" x14ac:dyDescent="0.25">
      <c r="A124">
        <v>4.0666666666666664</v>
      </c>
      <c r="B124">
        <v>55.256445709417747</v>
      </c>
      <c r="C124">
        <v>-23.331151473470189</v>
      </c>
      <c r="E124">
        <f t="shared" si="2"/>
        <v>55.256445709417747</v>
      </c>
      <c r="F124">
        <f t="shared" si="3"/>
        <v>336.66884852652981</v>
      </c>
    </row>
    <row r="125" spans="1:6" x14ac:dyDescent="0.25">
      <c r="A125">
        <v>4.0999999999999996</v>
      </c>
      <c r="B125">
        <v>54.882336683458981</v>
      </c>
      <c r="C125">
        <v>-18.821590287043051</v>
      </c>
      <c r="E125">
        <f t="shared" si="2"/>
        <v>54.882336683458981</v>
      </c>
      <c r="F125">
        <f t="shared" si="3"/>
        <v>341.17840971295698</v>
      </c>
    </row>
    <row r="126" spans="1:6" x14ac:dyDescent="0.25">
      <c r="A126">
        <v>4.1333333333333329</v>
      </c>
      <c r="B126">
        <v>54.643077115645482</v>
      </c>
      <c r="C126">
        <v>-16.749204708323688</v>
      </c>
      <c r="E126">
        <f t="shared" si="2"/>
        <v>54.643077115645482</v>
      </c>
      <c r="F126">
        <f t="shared" si="3"/>
        <v>343.2507952916763</v>
      </c>
    </row>
    <row r="127" spans="1:6" x14ac:dyDescent="0.25">
      <c r="A127">
        <v>4.166666666666667</v>
      </c>
      <c r="B127">
        <v>54.643077115645482</v>
      </c>
      <c r="C127">
        <v>-16.749204708323688</v>
      </c>
      <c r="E127">
        <f t="shared" si="2"/>
        <v>54.643077115645482</v>
      </c>
      <c r="F127">
        <f t="shared" si="3"/>
        <v>343.2507952916763</v>
      </c>
    </row>
    <row r="128" spans="1:6" x14ac:dyDescent="0.25">
      <c r="A128">
        <v>4.2</v>
      </c>
      <c r="B128">
        <v>54.184128137247527</v>
      </c>
      <c r="C128">
        <v>-12.97803410497589</v>
      </c>
      <c r="E128">
        <f t="shared" si="2"/>
        <v>54.184128137247527</v>
      </c>
      <c r="F128">
        <f t="shared" si="3"/>
        <v>347.0219658950241</v>
      </c>
    </row>
    <row r="129" spans="1:6" x14ac:dyDescent="0.25">
      <c r="A129">
        <v>4.2333333333333334</v>
      </c>
      <c r="B129">
        <v>53.877326743717148</v>
      </c>
      <c r="C129">
        <v>-10.63576215448693</v>
      </c>
      <c r="E129">
        <f t="shared" si="2"/>
        <v>53.877326743717148</v>
      </c>
      <c r="F129">
        <f t="shared" si="3"/>
        <v>349.36423784551306</v>
      </c>
    </row>
    <row r="130" spans="1:6" x14ac:dyDescent="0.25">
      <c r="A130">
        <v>4.2666666666666666</v>
      </c>
      <c r="B130">
        <v>53.877326743717148</v>
      </c>
      <c r="C130">
        <v>-10.65635241965755</v>
      </c>
      <c r="E130">
        <f t="shared" si="2"/>
        <v>53.877326743717148</v>
      </c>
      <c r="F130">
        <f t="shared" si="3"/>
        <v>349.34364758034246</v>
      </c>
    </row>
    <row r="131" spans="1:6" x14ac:dyDescent="0.25">
      <c r="A131">
        <v>4.3</v>
      </c>
      <c r="B131">
        <v>53.284773299952178</v>
      </c>
      <c r="C131">
        <v>-7.22090018289878</v>
      </c>
      <c r="E131">
        <f t="shared" ref="E131:E194" si="4">IF(B131&gt;=0, B131,  B131 + 360)</f>
        <v>53.284773299952178</v>
      </c>
      <c r="F131">
        <f t="shared" ref="F131:F134" si="5">IF(C131&gt;=0, C131,  C131 + 360)</f>
        <v>352.77909981710121</v>
      </c>
    </row>
    <row r="132" spans="1:6" x14ac:dyDescent="0.25">
      <c r="A132">
        <v>4.333333333333333</v>
      </c>
      <c r="B132">
        <v>52.925910585133757</v>
      </c>
      <c r="C132">
        <v>-5.013946937082971</v>
      </c>
      <c r="E132">
        <f t="shared" si="4"/>
        <v>52.925910585133757</v>
      </c>
      <c r="F132">
        <f t="shared" si="5"/>
        <v>354.98605306291705</v>
      </c>
    </row>
    <row r="133" spans="1:6" x14ac:dyDescent="0.25">
      <c r="A133">
        <v>4.3666666666666663</v>
      </c>
      <c r="B133">
        <v>52.925910585133757</v>
      </c>
      <c r="C133">
        <v>-5.0102325840169941</v>
      </c>
      <c r="E133">
        <f t="shared" si="4"/>
        <v>52.925910585133757</v>
      </c>
      <c r="F133">
        <f t="shared" si="5"/>
        <v>354.98976741598301</v>
      </c>
    </row>
    <row r="134" spans="1:6" x14ac:dyDescent="0.25">
      <c r="A134">
        <v>4.4000000000000004</v>
      </c>
      <c r="B134">
        <v>52.06399519044794</v>
      </c>
      <c r="C134">
        <v>-1.007542378746872</v>
      </c>
      <c r="E134">
        <f t="shared" si="4"/>
        <v>52.06399519044794</v>
      </c>
      <c r="F134">
        <f t="shared" si="5"/>
        <v>358.99245762125315</v>
      </c>
    </row>
    <row r="135" spans="1:6" x14ac:dyDescent="0.25">
      <c r="A135">
        <v>4.4333333333333336</v>
      </c>
      <c r="B135">
        <v>51.45188797694405</v>
      </c>
      <c r="C135">
        <v>1.1466424860115949</v>
      </c>
      <c r="E135">
        <f t="shared" si="4"/>
        <v>51.45188797694405</v>
      </c>
      <c r="F135">
        <f>IF(C135&gt;=0, C135,  C135 + 360) + 360</f>
        <v>361.14664248601161</v>
      </c>
    </row>
    <row r="136" spans="1:6" x14ac:dyDescent="0.25">
      <c r="A136">
        <v>4.4666666666666668</v>
      </c>
      <c r="B136">
        <v>51.45188797694405</v>
      </c>
      <c r="C136">
        <v>1.110348442731278</v>
      </c>
      <c r="E136">
        <f t="shared" si="4"/>
        <v>51.45188797694405</v>
      </c>
      <c r="F136">
        <f t="shared" ref="F136:F199" si="6">IF(C136&gt;=0, C136,  C136 + 360) + 360</f>
        <v>361.11034844273127</v>
      </c>
    </row>
    <row r="137" spans="1:6" x14ac:dyDescent="0.25">
      <c r="A137">
        <v>4.5</v>
      </c>
      <c r="B137">
        <v>50.78472546779642</v>
      </c>
      <c r="C137">
        <v>5.0770003393970127</v>
      </c>
      <c r="E137">
        <f t="shared" si="4"/>
        <v>50.78472546779642</v>
      </c>
      <c r="F137">
        <f t="shared" si="6"/>
        <v>365.07700033939699</v>
      </c>
    </row>
    <row r="138" spans="1:6" x14ac:dyDescent="0.25">
      <c r="A138">
        <v>4.5333333333333332</v>
      </c>
      <c r="B138">
        <v>50.470865126706663</v>
      </c>
      <c r="C138">
        <v>6.6500817372770351</v>
      </c>
      <c r="E138">
        <f t="shared" si="4"/>
        <v>50.470865126706663</v>
      </c>
      <c r="F138">
        <f t="shared" si="6"/>
        <v>366.65008173727705</v>
      </c>
    </row>
    <row r="139" spans="1:6" x14ac:dyDescent="0.25">
      <c r="A139">
        <v>4.5666666666666664</v>
      </c>
      <c r="B139">
        <v>50.500919437634508</v>
      </c>
      <c r="C139">
        <v>6.6505493653577963</v>
      </c>
      <c r="E139">
        <f t="shared" si="4"/>
        <v>50.500919437634508</v>
      </c>
      <c r="F139">
        <f t="shared" si="6"/>
        <v>366.65054936535779</v>
      </c>
    </row>
    <row r="140" spans="1:6" x14ac:dyDescent="0.25">
      <c r="A140">
        <v>4.5999999999999996</v>
      </c>
      <c r="B140">
        <v>49.442318405265141</v>
      </c>
      <c r="C140">
        <v>10.73418069986484</v>
      </c>
      <c r="E140">
        <f t="shared" si="4"/>
        <v>49.442318405265141</v>
      </c>
      <c r="F140">
        <f t="shared" si="6"/>
        <v>370.73418069986485</v>
      </c>
    </row>
    <row r="141" spans="1:6" x14ac:dyDescent="0.25">
      <c r="A141">
        <v>4.6333333333333329</v>
      </c>
      <c r="B141">
        <v>48.74767291725486</v>
      </c>
      <c r="C141">
        <v>12.559717186852509</v>
      </c>
      <c r="E141">
        <f t="shared" si="4"/>
        <v>48.74767291725486</v>
      </c>
      <c r="F141">
        <f t="shared" si="6"/>
        <v>372.55971718685248</v>
      </c>
    </row>
    <row r="142" spans="1:6" x14ac:dyDescent="0.25">
      <c r="A142">
        <v>4.666666666666667</v>
      </c>
      <c r="B142">
        <v>48.74767291725486</v>
      </c>
      <c r="C142">
        <v>12.585054968126389</v>
      </c>
      <c r="E142">
        <f t="shared" si="4"/>
        <v>48.74767291725486</v>
      </c>
      <c r="F142">
        <f t="shared" si="6"/>
        <v>372.58505496812637</v>
      </c>
    </row>
    <row r="143" spans="1:6" x14ac:dyDescent="0.25">
      <c r="A143">
        <v>4.7</v>
      </c>
      <c r="B143">
        <v>47.381187168175359</v>
      </c>
      <c r="C143">
        <v>16.51707554979906</v>
      </c>
      <c r="E143">
        <f t="shared" si="4"/>
        <v>47.381187168175359</v>
      </c>
      <c r="F143">
        <f t="shared" si="6"/>
        <v>376.51707554979907</v>
      </c>
    </row>
    <row r="144" spans="1:6" x14ac:dyDescent="0.25">
      <c r="A144">
        <v>4.7333333333333334</v>
      </c>
      <c r="B144">
        <v>47.002725037331828</v>
      </c>
      <c r="C144">
        <v>18.430257748194919</v>
      </c>
      <c r="E144">
        <f t="shared" si="4"/>
        <v>47.002725037331828</v>
      </c>
      <c r="F144">
        <f t="shared" si="6"/>
        <v>378.43025774819489</v>
      </c>
    </row>
    <row r="145" spans="1:6" x14ac:dyDescent="0.25">
      <c r="A145">
        <v>4.7666666666666666</v>
      </c>
      <c r="B145">
        <v>47.002725037331828</v>
      </c>
      <c r="C145">
        <v>18.418154739544761</v>
      </c>
      <c r="E145">
        <f t="shared" si="4"/>
        <v>47.002725037331828</v>
      </c>
      <c r="F145">
        <f t="shared" si="6"/>
        <v>378.41815473954478</v>
      </c>
    </row>
    <row r="146" spans="1:6" x14ac:dyDescent="0.25">
      <c r="A146">
        <v>4.8</v>
      </c>
      <c r="B146">
        <v>45.85190092099274</v>
      </c>
      <c r="C146">
        <v>22.28178202087566</v>
      </c>
      <c r="E146">
        <f t="shared" si="4"/>
        <v>45.85190092099274</v>
      </c>
      <c r="F146">
        <f t="shared" si="6"/>
        <v>382.28178202087565</v>
      </c>
    </row>
    <row r="147" spans="1:6" x14ac:dyDescent="0.25">
      <c r="A147">
        <v>4.833333333333333</v>
      </c>
      <c r="B147">
        <v>45.2690779739522</v>
      </c>
      <c r="C147">
        <v>24.128721314988859</v>
      </c>
      <c r="E147">
        <f t="shared" si="4"/>
        <v>45.2690779739522</v>
      </c>
      <c r="F147">
        <f t="shared" si="6"/>
        <v>384.12872131498887</v>
      </c>
    </row>
    <row r="148" spans="1:6" x14ac:dyDescent="0.25">
      <c r="A148">
        <v>4.8666666666666663</v>
      </c>
      <c r="B148">
        <v>45.21673938705905</v>
      </c>
      <c r="C148">
        <v>24.12145525095449</v>
      </c>
      <c r="E148">
        <f t="shared" si="4"/>
        <v>45.21673938705905</v>
      </c>
      <c r="F148">
        <f t="shared" si="6"/>
        <v>384.12145525095451</v>
      </c>
    </row>
    <row r="149" spans="1:6" x14ac:dyDescent="0.25">
      <c r="A149">
        <v>4.9000000000000004</v>
      </c>
      <c r="B149">
        <v>44.109995482376981</v>
      </c>
      <c r="C149">
        <v>27.926854628788149</v>
      </c>
      <c r="E149">
        <f t="shared" si="4"/>
        <v>44.109995482376981</v>
      </c>
      <c r="F149">
        <f t="shared" si="6"/>
        <v>387.92685462878813</v>
      </c>
    </row>
    <row r="150" spans="1:6" x14ac:dyDescent="0.25">
      <c r="A150">
        <v>4.9333333333333336</v>
      </c>
      <c r="B150">
        <v>43.315946265922648</v>
      </c>
      <c r="C150">
        <v>29.840549760447711</v>
      </c>
      <c r="E150">
        <f t="shared" si="4"/>
        <v>43.315946265922648</v>
      </c>
      <c r="F150">
        <f t="shared" si="6"/>
        <v>389.84054976044769</v>
      </c>
    </row>
    <row r="151" spans="1:6" x14ac:dyDescent="0.25">
      <c r="A151">
        <v>4.9666666666666668</v>
      </c>
      <c r="B151">
        <v>43.315946265922648</v>
      </c>
      <c r="C151">
        <v>29.847750127922961</v>
      </c>
      <c r="E151">
        <f t="shared" si="4"/>
        <v>43.315946265922648</v>
      </c>
      <c r="F151">
        <f t="shared" si="6"/>
        <v>389.84775012792295</v>
      </c>
    </row>
    <row r="152" spans="1:6" x14ac:dyDescent="0.25">
      <c r="A152">
        <v>5</v>
      </c>
      <c r="B152">
        <v>42.213876816112482</v>
      </c>
      <c r="C152">
        <v>33.592188470846622</v>
      </c>
      <c r="E152">
        <f t="shared" si="4"/>
        <v>42.213876816112482</v>
      </c>
      <c r="F152">
        <f t="shared" si="6"/>
        <v>393.59218847084662</v>
      </c>
    </row>
    <row r="153" spans="1:6" x14ac:dyDescent="0.25">
      <c r="A153">
        <v>5.0333333333333332</v>
      </c>
      <c r="B153">
        <v>41.510322065334357</v>
      </c>
      <c r="C153">
        <v>35.513963164309978</v>
      </c>
      <c r="E153">
        <f t="shared" si="4"/>
        <v>41.510322065334357</v>
      </c>
      <c r="F153">
        <f t="shared" si="6"/>
        <v>395.51396316430998</v>
      </c>
    </row>
    <row r="154" spans="1:6" x14ac:dyDescent="0.25">
      <c r="A154">
        <v>5.0666666666666664</v>
      </c>
      <c r="B154">
        <v>41.510322065334357</v>
      </c>
      <c r="C154">
        <v>35.506662383596563</v>
      </c>
      <c r="E154">
        <f t="shared" si="4"/>
        <v>41.510322065334357</v>
      </c>
      <c r="F154">
        <f t="shared" si="6"/>
        <v>395.50666238359656</v>
      </c>
    </row>
    <row r="155" spans="1:6" x14ac:dyDescent="0.25">
      <c r="A155">
        <v>5.0999999999999996</v>
      </c>
      <c r="B155">
        <v>40.217624923999168</v>
      </c>
      <c r="C155">
        <v>39.251382221467473</v>
      </c>
      <c r="E155">
        <f t="shared" si="4"/>
        <v>40.217624923999168</v>
      </c>
      <c r="F155">
        <f t="shared" si="6"/>
        <v>399.25138222146745</v>
      </c>
    </row>
    <row r="156" spans="1:6" x14ac:dyDescent="0.25">
      <c r="A156">
        <v>5.1333333333333329</v>
      </c>
      <c r="B156">
        <v>39.440702922262638</v>
      </c>
      <c r="C156">
        <v>41.070351158840552</v>
      </c>
      <c r="E156">
        <f t="shared" si="4"/>
        <v>39.440702922262638</v>
      </c>
      <c r="F156">
        <f t="shared" si="6"/>
        <v>401.07035115884054</v>
      </c>
    </row>
    <row r="157" spans="1:6" x14ac:dyDescent="0.25">
      <c r="A157">
        <v>5.166666666666667</v>
      </c>
      <c r="B157">
        <v>39.440702922262638</v>
      </c>
      <c r="C157">
        <v>41.044748957550077</v>
      </c>
      <c r="E157">
        <f t="shared" si="4"/>
        <v>39.440702922262638</v>
      </c>
      <c r="F157">
        <f t="shared" si="6"/>
        <v>401.0447489575501</v>
      </c>
    </row>
    <row r="158" spans="1:6" x14ac:dyDescent="0.25">
      <c r="A158">
        <v>5.2</v>
      </c>
      <c r="B158">
        <v>37.685330519632451</v>
      </c>
      <c r="C158">
        <v>44.831733033755157</v>
      </c>
      <c r="E158">
        <f t="shared" si="4"/>
        <v>37.685330519632451</v>
      </c>
      <c r="F158">
        <f t="shared" si="6"/>
        <v>404.83173303375514</v>
      </c>
    </row>
    <row r="159" spans="1:6" x14ac:dyDescent="0.25">
      <c r="A159">
        <v>5.2333333333333334</v>
      </c>
      <c r="B159">
        <v>36.749925466878217</v>
      </c>
      <c r="C159">
        <v>46.662190309699447</v>
      </c>
      <c r="E159">
        <f t="shared" si="4"/>
        <v>36.749925466878217</v>
      </c>
      <c r="F159">
        <f t="shared" si="6"/>
        <v>406.66219030969944</v>
      </c>
    </row>
    <row r="160" spans="1:6" x14ac:dyDescent="0.25">
      <c r="A160">
        <v>5.2666666666666666</v>
      </c>
      <c r="B160">
        <v>36.951558123528308</v>
      </c>
      <c r="C160">
        <v>46.686616829042222</v>
      </c>
      <c r="E160">
        <f t="shared" si="4"/>
        <v>36.951558123528308</v>
      </c>
      <c r="F160">
        <f t="shared" si="6"/>
        <v>406.68661682904224</v>
      </c>
    </row>
    <row r="161" spans="1:6" x14ac:dyDescent="0.25">
      <c r="A161">
        <v>5.3</v>
      </c>
      <c r="B161">
        <v>35.369764334342477</v>
      </c>
      <c r="C161">
        <v>50.343335215679687</v>
      </c>
      <c r="E161">
        <f t="shared" si="4"/>
        <v>35.369764334342477</v>
      </c>
      <c r="F161">
        <f t="shared" si="6"/>
        <v>410.3433352156797</v>
      </c>
    </row>
    <row r="162" spans="1:6" x14ac:dyDescent="0.25">
      <c r="A162">
        <v>5.333333333333333</v>
      </c>
      <c r="B162">
        <v>34.36367550042079</v>
      </c>
      <c r="C162">
        <v>52.203122445843007</v>
      </c>
      <c r="E162">
        <f t="shared" si="4"/>
        <v>34.36367550042079</v>
      </c>
      <c r="F162">
        <f t="shared" si="6"/>
        <v>412.20312244584301</v>
      </c>
    </row>
    <row r="163" spans="1:6" x14ac:dyDescent="0.25">
      <c r="A163">
        <v>5.3666666666666663</v>
      </c>
      <c r="B163">
        <v>34.36367550042079</v>
      </c>
      <c r="C163">
        <v>52.197571418893837</v>
      </c>
      <c r="E163">
        <f t="shared" si="4"/>
        <v>34.36367550042079</v>
      </c>
      <c r="F163">
        <f t="shared" si="6"/>
        <v>412.19757141889386</v>
      </c>
    </row>
    <row r="164" spans="1:6" x14ac:dyDescent="0.25">
      <c r="A164">
        <v>5.4</v>
      </c>
      <c r="B164">
        <v>32.936103971023563</v>
      </c>
      <c r="C164">
        <v>56.009858148016647</v>
      </c>
      <c r="E164">
        <f t="shared" si="4"/>
        <v>32.936103971023563</v>
      </c>
      <c r="F164">
        <f t="shared" si="6"/>
        <v>416.00985814801663</v>
      </c>
    </row>
    <row r="165" spans="1:6" x14ac:dyDescent="0.25">
      <c r="A165">
        <v>5.4333333333333336</v>
      </c>
      <c r="B165">
        <v>32.414357562437097</v>
      </c>
      <c r="C165">
        <v>57.844196574884357</v>
      </c>
      <c r="E165">
        <f t="shared" si="4"/>
        <v>32.414357562437097</v>
      </c>
      <c r="F165">
        <f t="shared" si="6"/>
        <v>417.84419657488434</v>
      </c>
    </row>
    <row r="166" spans="1:6" x14ac:dyDescent="0.25">
      <c r="A166">
        <v>5.4666666666666668</v>
      </c>
      <c r="B166">
        <v>32.414357562437097</v>
      </c>
      <c r="C166">
        <v>57.836052856184622</v>
      </c>
      <c r="E166">
        <f t="shared" si="4"/>
        <v>32.414357562437097</v>
      </c>
      <c r="F166">
        <f t="shared" si="6"/>
        <v>417.83605285618461</v>
      </c>
    </row>
    <row r="167" spans="1:6" x14ac:dyDescent="0.25">
      <c r="A167">
        <v>5.5</v>
      </c>
      <c r="B167">
        <v>30.59541259424385</v>
      </c>
      <c r="C167">
        <v>61.594717666948917</v>
      </c>
      <c r="E167">
        <f t="shared" si="4"/>
        <v>30.59541259424385</v>
      </c>
      <c r="F167">
        <f t="shared" si="6"/>
        <v>421.5947176669489</v>
      </c>
    </row>
    <row r="168" spans="1:6" x14ac:dyDescent="0.25">
      <c r="A168">
        <v>5.5333333333333332</v>
      </c>
      <c r="B168">
        <v>8.9012725701718995</v>
      </c>
      <c r="C168">
        <v>63.413045404867468</v>
      </c>
      <c r="E168">
        <f t="shared" si="4"/>
        <v>8.9012725701718995</v>
      </c>
      <c r="F168">
        <f t="shared" si="6"/>
        <v>423.41304540486749</v>
      </c>
    </row>
    <row r="169" spans="1:6" x14ac:dyDescent="0.25">
      <c r="A169">
        <v>5.5666666666666664</v>
      </c>
      <c r="B169">
        <v>8.8356913444194927</v>
      </c>
      <c r="C169">
        <v>63.41277148858606</v>
      </c>
      <c r="E169">
        <f t="shared" si="4"/>
        <v>8.8356913444194927</v>
      </c>
      <c r="F169">
        <f t="shared" si="6"/>
        <v>423.41277148858603</v>
      </c>
    </row>
    <row r="170" spans="1:6" x14ac:dyDescent="0.25">
      <c r="A170">
        <v>5.6</v>
      </c>
      <c r="B170">
        <v>10.24359895688479</v>
      </c>
      <c r="C170">
        <v>67.084531211283405</v>
      </c>
      <c r="E170">
        <f t="shared" si="4"/>
        <v>10.24359895688479</v>
      </c>
      <c r="F170">
        <f t="shared" si="6"/>
        <v>427.08453121128343</v>
      </c>
    </row>
    <row r="171" spans="1:6" x14ac:dyDescent="0.25">
      <c r="A171">
        <v>5.6333333333333329</v>
      </c>
      <c r="B171">
        <v>11.66475703555982</v>
      </c>
      <c r="C171">
        <v>63.092472363735787</v>
      </c>
      <c r="E171">
        <f t="shared" si="4"/>
        <v>11.66475703555982</v>
      </c>
      <c r="F171">
        <f t="shared" si="6"/>
        <v>423.09247236373579</v>
      </c>
    </row>
    <row r="172" spans="1:6" x14ac:dyDescent="0.25">
      <c r="A172">
        <v>5.666666666666667</v>
      </c>
      <c r="B172">
        <v>11.632547699318829</v>
      </c>
      <c r="C172">
        <v>63.262980492700322</v>
      </c>
      <c r="E172">
        <f t="shared" si="4"/>
        <v>11.632547699318829</v>
      </c>
      <c r="F172">
        <f t="shared" si="6"/>
        <v>423.26298049270031</v>
      </c>
    </row>
    <row r="173" spans="1:6" x14ac:dyDescent="0.25">
      <c r="A173">
        <v>5.7</v>
      </c>
      <c r="B173">
        <v>13.17915897919173</v>
      </c>
      <c r="C173">
        <v>70.949541747764869</v>
      </c>
      <c r="E173">
        <f t="shared" si="4"/>
        <v>13.17915897919173</v>
      </c>
      <c r="F173">
        <f t="shared" si="6"/>
        <v>430.9495417477649</v>
      </c>
    </row>
    <row r="174" spans="1:6" x14ac:dyDescent="0.25">
      <c r="A174">
        <v>5.7333333333333334</v>
      </c>
      <c r="B174">
        <v>14.03178275640121</v>
      </c>
      <c r="C174">
        <v>74.521918035979951</v>
      </c>
      <c r="E174">
        <f t="shared" si="4"/>
        <v>14.03178275640121</v>
      </c>
      <c r="F174">
        <f t="shared" si="6"/>
        <v>434.52191803597998</v>
      </c>
    </row>
    <row r="175" spans="1:6" x14ac:dyDescent="0.25">
      <c r="A175">
        <v>5.7666666666666666</v>
      </c>
      <c r="B175">
        <v>14.03178275640121</v>
      </c>
      <c r="C175">
        <v>74.529873727289981</v>
      </c>
      <c r="E175">
        <f t="shared" si="4"/>
        <v>14.03178275640121</v>
      </c>
      <c r="F175">
        <f t="shared" si="6"/>
        <v>434.52987372729001</v>
      </c>
    </row>
    <row r="176" spans="1:6" x14ac:dyDescent="0.25">
      <c r="A176">
        <v>5.8</v>
      </c>
      <c r="B176">
        <v>15.33914001144676</v>
      </c>
      <c r="C176">
        <v>78.19475576097345</v>
      </c>
      <c r="E176">
        <f t="shared" si="4"/>
        <v>15.33914001144676</v>
      </c>
      <c r="F176">
        <f t="shared" si="6"/>
        <v>438.19475576097346</v>
      </c>
    </row>
    <row r="177" spans="1:6" x14ac:dyDescent="0.25">
      <c r="A177">
        <v>5.833333333333333</v>
      </c>
      <c r="B177">
        <v>16.002420517142252</v>
      </c>
      <c r="C177">
        <v>80.044207245827565</v>
      </c>
      <c r="E177">
        <f t="shared" si="4"/>
        <v>16.002420517142252</v>
      </c>
      <c r="F177">
        <f t="shared" si="6"/>
        <v>440.04420724582758</v>
      </c>
    </row>
    <row r="178" spans="1:6" x14ac:dyDescent="0.25">
      <c r="A178">
        <v>5.8666666666666663</v>
      </c>
      <c r="B178">
        <v>16.002420517142252</v>
      </c>
      <c r="C178">
        <v>80.05283632316268</v>
      </c>
      <c r="E178">
        <f t="shared" si="4"/>
        <v>16.002420517142252</v>
      </c>
      <c r="F178">
        <f t="shared" si="6"/>
        <v>440.05283632316269</v>
      </c>
    </row>
    <row r="179" spans="1:6" x14ac:dyDescent="0.25">
      <c r="A179">
        <v>5.9</v>
      </c>
      <c r="B179">
        <v>17.295638595502769</v>
      </c>
      <c r="C179">
        <v>83.710171925153816</v>
      </c>
      <c r="E179">
        <f t="shared" si="4"/>
        <v>17.295638595502769</v>
      </c>
      <c r="F179">
        <f t="shared" si="6"/>
        <v>443.71017192515382</v>
      </c>
    </row>
    <row r="180" spans="1:6" x14ac:dyDescent="0.25">
      <c r="A180">
        <v>5.9333333333333336</v>
      </c>
      <c r="B180">
        <v>17.725935627275049</v>
      </c>
      <c r="C180">
        <v>85.548073265040927</v>
      </c>
      <c r="E180">
        <f t="shared" si="4"/>
        <v>17.725935627275049</v>
      </c>
      <c r="F180">
        <f t="shared" si="6"/>
        <v>445.5480732650409</v>
      </c>
    </row>
    <row r="181" spans="1:6" x14ac:dyDescent="0.25">
      <c r="A181">
        <v>5.9666666666666668</v>
      </c>
      <c r="B181">
        <v>17.725935627275049</v>
      </c>
      <c r="C181">
        <v>85.548073265040927</v>
      </c>
      <c r="E181">
        <f t="shared" si="4"/>
        <v>17.725935627275049</v>
      </c>
      <c r="F181">
        <f t="shared" si="6"/>
        <v>445.5480732650409</v>
      </c>
    </row>
    <row r="182" spans="1:6" x14ac:dyDescent="0.25">
      <c r="A182">
        <v>6</v>
      </c>
      <c r="B182">
        <v>18.988196790894179</v>
      </c>
      <c r="C182">
        <v>89.276967837872263</v>
      </c>
      <c r="E182">
        <f t="shared" si="4"/>
        <v>18.988196790894179</v>
      </c>
      <c r="F182">
        <f t="shared" si="6"/>
        <v>449.27696783787223</v>
      </c>
    </row>
    <row r="183" spans="1:6" x14ac:dyDescent="0.25">
      <c r="A183">
        <v>6.0333333333333332</v>
      </c>
      <c r="B183">
        <v>19.256096463557551</v>
      </c>
      <c r="C183">
        <v>90.831892574200339</v>
      </c>
      <c r="E183">
        <f t="shared" si="4"/>
        <v>19.256096463557551</v>
      </c>
      <c r="F183">
        <f t="shared" si="6"/>
        <v>450.83189257420031</v>
      </c>
    </row>
    <row r="184" spans="1:6" x14ac:dyDescent="0.25">
      <c r="A184">
        <v>6.0666666666666664</v>
      </c>
      <c r="B184">
        <v>19.256096463557551</v>
      </c>
      <c r="C184">
        <v>90.831892574200339</v>
      </c>
      <c r="E184">
        <f t="shared" si="4"/>
        <v>19.256096463557551</v>
      </c>
      <c r="F184">
        <f t="shared" si="6"/>
        <v>450.83189257420031</v>
      </c>
    </row>
    <row r="185" spans="1:6" x14ac:dyDescent="0.25">
      <c r="A185">
        <v>6.1</v>
      </c>
      <c r="B185">
        <v>18.579253785273519</v>
      </c>
      <c r="C185">
        <v>94.632851961794188</v>
      </c>
      <c r="E185">
        <f t="shared" si="4"/>
        <v>18.579253785273519</v>
      </c>
      <c r="F185">
        <f t="shared" si="6"/>
        <v>454.63285196179419</v>
      </c>
    </row>
    <row r="186" spans="1:6" x14ac:dyDescent="0.25">
      <c r="A186">
        <v>6.1333333333333329</v>
      </c>
      <c r="B186">
        <v>18.154670257619959</v>
      </c>
      <c r="C186">
        <v>96.526966395934153</v>
      </c>
      <c r="E186">
        <f t="shared" si="4"/>
        <v>18.154670257619959</v>
      </c>
      <c r="F186">
        <f t="shared" si="6"/>
        <v>456.52696639593415</v>
      </c>
    </row>
    <row r="187" spans="1:6" x14ac:dyDescent="0.25">
      <c r="A187">
        <v>6.166666666666667</v>
      </c>
      <c r="B187">
        <v>18.154670257619959</v>
      </c>
      <c r="C187">
        <v>96.526966395934153</v>
      </c>
      <c r="E187">
        <f t="shared" si="4"/>
        <v>18.154670257619959</v>
      </c>
      <c r="F187">
        <f t="shared" si="6"/>
        <v>456.52696639593415</v>
      </c>
    </row>
    <row r="188" spans="1:6" x14ac:dyDescent="0.25">
      <c r="A188">
        <v>6.2</v>
      </c>
      <c r="B188">
        <v>17.21114201324707</v>
      </c>
      <c r="C188">
        <v>100.1531307886892</v>
      </c>
      <c r="E188">
        <f t="shared" si="4"/>
        <v>17.21114201324707</v>
      </c>
      <c r="F188">
        <f t="shared" si="6"/>
        <v>460.15313078868917</v>
      </c>
    </row>
    <row r="189" spans="1:6" x14ac:dyDescent="0.25">
      <c r="A189">
        <v>6.2333333333333334</v>
      </c>
      <c r="B189">
        <v>16.64913289482147</v>
      </c>
      <c r="C189">
        <v>101.92216716548209</v>
      </c>
      <c r="E189">
        <f t="shared" si="4"/>
        <v>16.64913289482147</v>
      </c>
      <c r="F189">
        <f t="shared" si="6"/>
        <v>461.92216716548211</v>
      </c>
    </row>
    <row r="190" spans="1:6" x14ac:dyDescent="0.25">
      <c r="A190">
        <v>6.2666666666666666</v>
      </c>
      <c r="B190">
        <v>16.64913289482147</v>
      </c>
      <c r="C190">
        <v>101.9224252384477</v>
      </c>
      <c r="E190">
        <f t="shared" si="4"/>
        <v>16.64913289482147</v>
      </c>
      <c r="F190">
        <f t="shared" si="6"/>
        <v>461.92242523844772</v>
      </c>
    </row>
    <row r="191" spans="1:6" x14ac:dyDescent="0.25">
      <c r="A191">
        <v>6.3</v>
      </c>
      <c r="B191">
        <v>15.76795364438358</v>
      </c>
      <c r="C191">
        <v>105.5592864887488</v>
      </c>
      <c r="E191">
        <f t="shared" si="4"/>
        <v>15.76795364438358</v>
      </c>
      <c r="F191">
        <f t="shared" si="6"/>
        <v>465.5592864887488</v>
      </c>
    </row>
    <row r="192" spans="1:6" x14ac:dyDescent="0.25">
      <c r="A192">
        <v>6.333333333333333</v>
      </c>
      <c r="B192">
        <v>15.271977664469221</v>
      </c>
      <c r="C192">
        <v>107.38042660987951</v>
      </c>
      <c r="E192">
        <f t="shared" si="4"/>
        <v>15.271977664469221</v>
      </c>
      <c r="F192">
        <f t="shared" si="6"/>
        <v>467.38042660987952</v>
      </c>
    </row>
    <row r="193" spans="1:6" x14ac:dyDescent="0.25">
      <c r="A193">
        <v>6.3666666666666663</v>
      </c>
      <c r="B193">
        <v>15.31102211856852</v>
      </c>
      <c r="C193">
        <v>107.3811425657581</v>
      </c>
      <c r="E193">
        <f t="shared" si="4"/>
        <v>15.31102211856852</v>
      </c>
      <c r="F193">
        <f t="shared" si="6"/>
        <v>467.38114256575807</v>
      </c>
    </row>
    <row r="194" spans="1:6" x14ac:dyDescent="0.25">
      <c r="A194">
        <v>6.4</v>
      </c>
      <c r="B194">
        <v>14.61380834960891</v>
      </c>
      <c r="C194">
        <v>111.04333396066809</v>
      </c>
      <c r="E194">
        <f t="shared" si="4"/>
        <v>14.61380834960891</v>
      </c>
      <c r="F194">
        <f t="shared" si="6"/>
        <v>471.04333396066806</v>
      </c>
    </row>
    <row r="195" spans="1:6" x14ac:dyDescent="0.25">
      <c r="A195">
        <v>6.4333333333333336</v>
      </c>
      <c r="B195">
        <v>14.27625860774693</v>
      </c>
      <c r="C195">
        <v>112.8710692703457</v>
      </c>
      <c r="E195">
        <f t="shared" ref="E195:E258" si="7">IF(B195&gt;=0, B195,  B195 + 360)</f>
        <v>14.27625860774693</v>
      </c>
      <c r="F195">
        <f t="shared" si="6"/>
        <v>472.87106927034569</v>
      </c>
    </row>
    <row r="196" spans="1:6" x14ac:dyDescent="0.25">
      <c r="A196">
        <v>6.4666666666666668</v>
      </c>
      <c r="B196">
        <v>14.209634706758511</v>
      </c>
      <c r="C196">
        <v>112.8759520951868</v>
      </c>
      <c r="E196">
        <f t="shared" si="7"/>
        <v>14.209634706758511</v>
      </c>
      <c r="F196">
        <f t="shared" si="6"/>
        <v>472.87595209518679</v>
      </c>
    </row>
    <row r="197" spans="1:6" x14ac:dyDescent="0.25">
      <c r="A197">
        <v>6.5</v>
      </c>
      <c r="B197">
        <v>13.499732532816189</v>
      </c>
      <c r="C197">
        <v>116.5179110750519</v>
      </c>
      <c r="E197">
        <f t="shared" si="7"/>
        <v>13.499732532816189</v>
      </c>
      <c r="F197">
        <f t="shared" si="6"/>
        <v>476.51791107505187</v>
      </c>
    </row>
    <row r="198" spans="1:6" x14ac:dyDescent="0.25">
      <c r="A198">
        <v>6.5333333333333332</v>
      </c>
      <c r="B198">
        <v>13.17915897919173</v>
      </c>
      <c r="C198">
        <v>118.37425952196639</v>
      </c>
      <c r="E198">
        <f t="shared" si="7"/>
        <v>13.17915897919173</v>
      </c>
      <c r="F198">
        <f t="shared" si="6"/>
        <v>478.37425952196639</v>
      </c>
    </row>
    <row r="199" spans="1:6" x14ac:dyDescent="0.25">
      <c r="A199">
        <v>6.5666666666666664</v>
      </c>
      <c r="B199">
        <v>13.17915897919173</v>
      </c>
      <c r="C199">
        <v>118.3786480181641</v>
      </c>
      <c r="E199">
        <f t="shared" si="7"/>
        <v>13.17915897919173</v>
      </c>
      <c r="F199">
        <f t="shared" si="6"/>
        <v>478.37864801816409</v>
      </c>
    </row>
    <row r="200" spans="1:6" x14ac:dyDescent="0.25">
      <c r="A200">
        <v>6.6</v>
      </c>
      <c r="B200">
        <v>12.590674703297839</v>
      </c>
      <c r="C200">
        <v>122.0657982406458</v>
      </c>
      <c r="E200">
        <f t="shared" si="7"/>
        <v>12.590674703297839</v>
      </c>
      <c r="F200">
        <f t="shared" ref="F200:F263" si="8">IF(C200&gt;=0, C200,  C200 + 360) + 360</f>
        <v>482.06579824064579</v>
      </c>
    </row>
    <row r="201" spans="1:6" x14ac:dyDescent="0.25">
      <c r="A201">
        <v>6.6333333333333329</v>
      </c>
      <c r="B201">
        <v>12.35386899850384</v>
      </c>
      <c r="C201">
        <v>123.87371777314461</v>
      </c>
      <c r="E201">
        <f t="shared" si="7"/>
        <v>12.35386899850384</v>
      </c>
      <c r="F201">
        <f t="shared" si="8"/>
        <v>483.87371777314462</v>
      </c>
    </row>
    <row r="202" spans="1:6" x14ac:dyDescent="0.25">
      <c r="A202">
        <v>6.666666666666667</v>
      </c>
      <c r="B202">
        <v>12.29593716568435</v>
      </c>
      <c r="C202">
        <v>123.8712327876783</v>
      </c>
      <c r="E202">
        <f t="shared" si="7"/>
        <v>12.29593716568435</v>
      </c>
      <c r="F202">
        <f t="shared" si="8"/>
        <v>483.87123278767831</v>
      </c>
    </row>
    <row r="203" spans="1:6" x14ac:dyDescent="0.25">
      <c r="A203">
        <v>6.7</v>
      </c>
      <c r="B203">
        <v>12.056531329829079</v>
      </c>
      <c r="C203">
        <v>127.5229093333607</v>
      </c>
      <c r="E203">
        <f t="shared" si="7"/>
        <v>12.056531329829079</v>
      </c>
      <c r="F203">
        <f t="shared" si="8"/>
        <v>487.5229093333607</v>
      </c>
    </row>
    <row r="204" spans="1:6" x14ac:dyDescent="0.25">
      <c r="A204">
        <v>6.7333333333333334</v>
      </c>
      <c r="B204">
        <v>11.800989016340051</v>
      </c>
      <c r="C204">
        <v>129.34970897506511</v>
      </c>
      <c r="E204">
        <f t="shared" si="7"/>
        <v>11.800989016340051</v>
      </c>
      <c r="F204">
        <f t="shared" si="8"/>
        <v>489.34970897506514</v>
      </c>
    </row>
    <row r="205" spans="1:6" x14ac:dyDescent="0.25">
      <c r="A205">
        <v>6.7666666666666666</v>
      </c>
      <c r="B205">
        <v>11.75925992175938</v>
      </c>
      <c r="C205">
        <v>129.3522711914496</v>
      </c>
      <c r="E205">
        <f t="shared" si="7"/>
        <v>11.75925992175938</v>
      </c>
      <c r="F205">
        <f t="shared" si="8"/>
        <v>489.35227119144963</v>
      </c>
    </row>
    <row r="206" spans="1:6" x14ac:dyDescent="0.25">
      <c r="A206">
        <v>6.8</v>
      </c>
      <c r="B206">
        <v>11.554071640590809</v>
      </c>
      <c r="C206">
        <v>132.92567476694211</v>
      </c>
      <c r="E206">
        <f t="shared" si="7"/>
        <v>11.554071640590809</v>
      </c>
      <c r="F206">
        <f t="shared" si="8"/>
        <v>492.92567476694211</v>
      </c>
    </row>
    <row r="207" spans="1:6" x14ac:dyDescent="0.25">
      <c r="A207">
        <v>6.833333333333333</v>
      </c>
      <c r="B207">
        <v>10.95356184796726</v>
      </c>
      <c r="C207">
        <v>134.69918757257369</v>
      </c>
      <c r="E207">
        <f t="shared" si="7"/>
        <v>10.95356184796726</v>
      </c>
      <c r="F207">
        <f t="shared" si="8"/>
        <v>494.69918757257369</v>
      </c>
    </row>
    <row r="208" spans="1:6" x14ac:dyDescent="0.25">
      <c r="A208">
        <v>6.8666666666666663</v>
      </c>
      <c r="B208">
        <v>10.95356184796726</v>
      </c>
      <c r="C208">
        <v>134.69481268575069</v>
      </c>
      <c r="E208">
        <f t="shared" si="7"/>
        <v>10.95356184796726</v>
      </c>
      <c r="F208">
        <f t="shared" si="8"/>
        <v>494.69481268575066</v>
      </c>
    </row>
    <row r="209" spans="1:6" x14ac:dyDescent="0.25">
      <c r="A209">
        <v>6.8999999999999986</v>
      </c>
      <c r="B209">
        <v>10.802409563726551</v>
      </c>
      <c r="C209">
        <v>138.40018278402351</v>
      </c>
      <c r="E209">
        <f t="shared" si="7"/>
        <v>10.802409563726551</v>
      </c>
      <c r="F209">
        <f t="shared" si="8"/>
        <v>498.40018278402351</v>
      </c>
    </row>
    <row r="210" spans="1:6" x14ac:dyDescent="0.25">
      <c r="A210">
        <v>6.9333333333333336</v>
      </c>
      <c r="B210">
        <v>10.50313916017369</v>
      </c>
      <c r="C210">
        <v>140.1252294454589</v>
      </c>
      <c r="E210">
        <f t="shared" si="7"/>
        <v>10.50313916017369</v>
      </c>
      <c r="F210">
        <f t="shared" si="8"/>
        <v>500.1252294454589</v>
      </c>
    </row>
    <row r="211" spans="1:6" x14ac:dyDescent="0.25">
      <c r="A211">
        <v>6.9666666666666668</v>
      </c>
      <c r="B211">
        <v>10.50313916017369</v>
      </c>
      <c r="C211">
        <v>140.15022416940261</v>
      </c>
      <c r="E211">
        <f t="shared" si="7"/>
        <v>10.50313916017369</v>
      </c>
      <c r="F211">
        <f t="shared" si="8"/>
        <v>500.15022416940258</v>
      </c>
    </row>
    <row r="212" spans="1:6" x14ac:dyDescent="0.25">
      <c r="A212">
        <v>7</v>
      </c>
      <c r="B212">
        <v>10.633387213743999</v>
      </c>
      <c r="C212">
        <v>143.56501296121601</v>
      </c>
      <c r="E212">
        <f t="shared" si="7"/>
        <v>10.633387213743999</v>
      </c>
      <c r="F212">
        <f t="shared" si="8"/>
        <v>503.56501296121598</v>
      </c>
    </row>
    <row r="213" spans="1:6" x14ac:dyDescent="0.25">
      <c r="A213">
        <v>7.0333333333333332</v>
      </c>
      <c r="B213">
        <v>10.69539263946684</v>
      </c>
      <c r="C213">
        <v>145.2928883529087</v>
      </c>
      <c r="E213">
        <f t="shared" si="7"/>
        <v>10.69539263946684</v>
      </c>
      <c r="F213">
        <f t="shared" si="8"/>
        <v>505.29288835290868</v>
      </c>
    </row>
    <row r="214" spans="1:6" x14ac:dyDescent="0.25">
      <c r="A214">
        <v>7.0666666666666664</v>
      </c>
      <c r="B214">
        <v>10.69539263946684</v>
      </c>
      <c r="C214">
        <v>145.2928883529087</v>
      </c>
      <c r="E214">
        <f t="shared" si="7"/>
        <v>10.69539263946684</v>
      </c>
      <c r="F214">
        <f t="shared" si="8"/>
        <v>505.29288835290868</v>
      </c>
    </row>
    <row r="215" spans="1:6" x14ac:dyDescent="0.25">
      <c r="A215">
        <v>7.1</v>
      </c>
      <c r="B215">
        <v>10.9965043621412</v>
      </c>
      <c r="C215">
        <v>148.77414940593491</v>
      </c>
      <c r="E215">
        <f t="shared" si="7"/>
        <v>10.9965043621412</v>
      </c>
      <c r="F215">
        <f t="shared" si="8"/>
        <v>508.77414940593491</v>
      </c>
    </row>
    <row r="216" spans="1:6" x14ac:dyDescent="0.25">
      <c r="A216">
        <v>7.1333333333333329</v>
      </c>
      <c r="B216">
        <v>11.09942763535809</v>
      </c>
      <c r="C216">
        <v>150.57925483896301</v>
      </c>
      <c r="E216">
        <f t="shared" si="7"/>
        <v>11.09942763535809</v>
      </c>
      <c r="F216">
        <f t="shared" si="8"/>
        <v>510.57925483896304</v>
      </c>
    </row>
    <row r="217" spans="1:6" x14ac:dyDescent="0.25">
      <c r="A217">
        <v>7.166666666666667</v>
      </c>
      <c r="B217">
        <v>11.115801286503739</v>
      </c>
      <c r="C217">
        <v>150.58020764903179</v>
      </c>
      <c r="E217">
        <f t="shared" si="7"/>
        <v>11.115801286503739</v>
      </c>
      <c r="F217">
        <f t="shared" si="8"/>
        <v>510.58020764903176</v>
      </c>
    </row>
    <row r="218" spans="1:6" x14ac:dyDescent="0.25">
      <c r="A218">
        <v>7.2</v>
      </c>
      <c r="B218">
        <v>11.554071640590809</v>
      </c>
      <c r="C218">
        <v>154.05941443697139</v>
      </c>
      <c r="E218">
        <f t="shared" si="7"/>
        <v>11.554071640590809</v>
      </c>
      <c r="F218">
        <f t="shared" si="8"/>
        <v>514.05941443697134</v>
      </c>
    </row>
    <row r="219" spans="1:6" x14ac:dyDescent="0.25">
      <c r="A219">
        <v>7.2333333333333334</v>
      </c>
      <c r="B219">
        <v>11.836947098491811</v>
      </c>
      <c r="C219">
        <v>155.7966954036508</v>
      </c>
      <c r="E219">
        <f t="shared" si="7"/>
        <v>11.836947098491811</v>
      </c>
      <c r="F219">
        <f t="shared" si="8"/>
        <v>515.7966954036508</v>
      </c>
    </row>
    <row r="220" spans="1:6" x14ac:dyDescent="0.25">
      <c r="A220">
        <v>7.2666666666666666</v>
      </c>
      <c r="B220">
        <v>11.836947098491811</v>
      </c>
      <c r="C220">
        <v>155.7941994684634</v>
      </c>
      <c r="E220">
        <f t="shared" si="7"/>
        <v>11.836947098491811</v>
      </c>
      <c r="F220">
        <f t="shared" si="8"/>
        <v>515.79419946846338</v>
      </c>
    </row>
    <row r="221" spans="1:6" x14ac:dyDescent="0.25">
      <c r="A221">
        <v>7.3</v>
      </c>
      <c r="B221">
        <v>12.305558596283429</v>
      </c>
      <c r="C221">
        <v>159.28688279190229</v>
      </c>
      <c r="E221">
        <f t="shared" si="7"/>
        <v>12.305558596283429</v>
      </c>
      <c r="F221">
        <f t="shared" si="8"/>
        <v>519.28688279190226</v>
      </c>
    </row>
    <row r="222" spans="1:6" x14ac:dyDescent="0.25">
      <c r="A222">
        <v>7.333333333333333</v>
      </c>
      <c r="B222">
        <v>12.58063884879089</v>
      </c>
      <c r="C222">
        <v>161.05571964021161</v>
      </c>
      <c r="E222">
        <f t="shared" si="7"/>
        <v>12.58063884879089</v>
      </c>
      <c r="F222">
        <f t="shared" si="8"/>
        <v>521.05571964021158</v>
      </c>
    </row>
    <row r="223" spans="1:6" x14ac:dyDescent="0.25">
      <c r="A223">
        <v>7.3666666666666663</v>
      </c>
      <c r="B223">
        <v>12.65121189151065</v>
      </c>
      <c r="C223">
        <v>161.02184984682751</v>
      </c>
      <c r="E223">
        <f t="shared" si="7"/>
        <v>12.65121189151065</v>
      </c>
      <c r="F223">
        <f t="shared" si="8"/>
        <v>521.02184984682754</v>
      </c>
    </row>
    <row r="224" spans="1:6" x14ac:dyDescent="0.25">
      <c r="A224">
        <v>7.3999999999999986</v>
      </c>
      <c r="B224">
        <v>13.12431884836036</v>
      </c>
      <c r="C224">
        <v>164.55324941781501</v>
      </c>
      <c r="E224">
        <f t="shared" si="7"/>
        <v>13.12431884836036</v>
      </c>
      <c r="F224">
        <f t="shared" si="8"/>
        <v>524.55324941781498</v>
      </c>
    </row>
    <row r="225" spans="1:6" x14ac:dyDescent="0.25">
      <c r="A225">
        <v>7.4333333333333336</v>
      </c>
      <c r="B225">
        <v>13.53082191677842</v>
      </c>
      <c r="C225">
        <v>166.24525512578529</v>
      </c>
      <c r="E225">
        <f t="shared" si="7"/>
        <v>13.53082191677842</v>
      </c>
      <c r="F225">
        <f t="shared" si="8"/>
        <v>526.24525512578532</v>
      </c>
    </row>
    <row r="226" spans="1:6" x14ac:dyDescent="0.25">
      <c r="A226">
        <v>7.4666666666666668</v>
      </c>
      <c r="B226">
        <v>13.53082191677842</v>
      </c>
      <c r="C226">
        <v>166.2883086427839</v>
      </c>
      <c r="E226">
        <f t="shared" si="7"/>
        <v>13.53082191677842</v>
      </c>
      <c r="F226">
        <f t="shared" si="8"/>
        <v>526.28830864278393</v>
      </c>
    </row>
    <row r="227" spans="1:6" x14ac:dyDescent="0.25">
      <c r="A227">
        <v>7.5</v>
      </c>
      <c r="B227">
        <v>14.334713635234889</v>
      </c>
      <c r="C227">
        <v>169.78376784347111</v>
      </c>
      <c r="E227">
        <f t="shared" si="7"/>
        <v>14.334713635234889</v>
      </c>
      <c r="F227">
        <f t="shared" si="8"/>
        <v>529.78376784347108</v>
      </c>
    </row>
    <row r="228" spans="1:6" x14ac:dyDescent="0.25">
      <c r="A228">
        <v>7.5333333333333332</v>
      </c>
      <c r="B228">
        <v>14.74980803633631</v>
      </c>
      <c r="C228">
        <v>171.53060592651079</v>
      </c>
      <c r="E228">
        <f t="shared" si="7"/>
        <v>14.74980803633631</v>
      </c>
      <c r="F228">
        <f t="shared" si="8"/>
        <v>531.53060592651082</v>
      </c>
    </row>
    <row r="229" spans="1:6" x14ac:dyDescent="0.25">
      <c r="A229">
        <v>7.5666666666666664</v>
      </c>
      <c r="B229">
        <v>14.74980803633631</v>
      </c>
      <c r="C229">
        <v>171.53766462774749</v>
      </c>
      <c r="E229">
        <f t="shared" si="7"/>
        <v>14.74980803633631</v>
      </c>
      <c r="F229">
        <f t="shared" si="8"/>
        <v>531.53766462774752</v>
      </c>
    </row>
    <row r="230" spans="1:6" x14ac:dyDescent="0.25">
      <c r="A230">
        <v>7.6</v>
      </c>
      <c r="B230">
        <v>15.793259917671421</v>
      </c>
      <c r="C230">
        <v>175.1144279733322</v>
      </c>
      <c r="E230">
        <f t="shared" si="7"/>
        <v>15.793259917671421</v>
      </c>
      <c r="F230">
        <f t="shared" si="8"/>
        <v>535.11442797333223</v>
      </c>
    </row>
    <row r="231" spans="1:6" x14ac:dyDescent="0.25">
      <c r="A231">
        <v>7.6333333333333329</v>
      </c>
      <c r="B231">
        <v>16.225163442615209</v>
      </c>
      <c r="C231">
        <v>176.79645294566521</v>
      </c>
      <c r="E231">
        <f t="shared" si="7"/>
        <v>16.225163442615209</v>
      </c>
      <c r="F231">
        <f t="shared" si="8"/>
        <v>536.79645294566524</v>
      </c>
    </row>
    <row r="232" spans="1:6" x14ac:dyDescent="0.25">
      <c r="A232">
        <v>7.666666666666667</v>
      </c>
      <c r="B232">
        <v>16.225163442615209</v>
      </c>
      <c r="C232">
        <v>176.8154937710845</v>
      </c>
      <c r="E232">
        <f t="shared" si="7"/>
        <v>16.225163442615209</v>
      </c>
      <c r="F232">
        <f t="shared" si="8"/>
        <v>536.81549377108445</v>
      </c>
    </row>
    <row r="233" spans="1:6" x14ac:dyDescent="0.25">
      <c r="A233">
        <v>7.7</v>
      </c>
      <c r="B233">
        <v>17.090031081134601</v>
      </c>
      <c r="C233">
        <v>-179.48660508692711</v>
      </c>
      <c r="E233">
        <f t="shared" si="7"/>
        <v>17.090031081134601</v>
      </c>
      <c r="F233">
        <f t="shared" si="8"/>
        <v>540.51339491307294</v>
      </c>
    </row>
    <row r="234" spans="1:6" x14ac:dyDescent="0.25">
      <c r="A234">
        <v>7.7333333333333334</v>
      </c>
      <c r="B234">
        <v>17.522897389304521</v>
      </c>
      <c r="C234">
        <v>-177.7876283376529</v>
      </c>
      <c r="E234">
        <f t="shared" si="7"/>
        <v>17.522897389304521</v>
      </c>
      <c r="F234">
        <f t="shared" si="8"/>
        <v>542.2123716623471</v>
      </c>
    </row>
    <row r="235" spans="1:6" x14ac:dyDescent="0.25">
      <c r="A235">
        <v>7.7666666666666666</v>
      </c>
      <c r="B235">
        <v>17.522897389304521</v>
      </c>
      <c r="C235">
        <v>-177.80010020755219</v>
      </c>
      <c r="E235">
        <f t="shared" si="7"/>
        <v>17.522897389304521</v>
      </c>
      <c r="F235">
        <f t="shared" si="8"/>
        <v>542.19989979244781</v>
      </c>
    </row>
    <row r="236" spans="1:6" x14ac:dyDescent="0.25">
      <c r="A236">
        <v>7.8</v>
      </c>
      <c r="B236">
        <v>20.123043127871409</v>
      </c>
      <c r="C236">
        <v>-174.27682290063959</v>
      </c>
      <c r="E236">
        <f t="shared" si="7"/>
        <v>20.123043127871409</v>
      </c>
      <c r="F236">
        <f t="shared" si="8"/>
        <v>545.72317709936044</v>
      </c>
    </row>
    <row r="237" spans="1:6" x14ac:dyDescent="0.25">
      <c r="A237">
        <v>7.833333333333333</v>
      </c>
      <c r="B237">
        <v>19.689582201326839</v>
      </c>
      <c r="C237">
        <v>-172.48442709981299</v>
      </c>
      <c r="E237">
        <f t="shared" si="7"/>
        <v>19.689582201326839</v>
      </c>
      <c r="F237">
        <f t="shared" si="8"/>
        <v>547.51557290018695</v>
      </c>
    </row>
    <row r="238" spans="1:6" x14ac:dyDescent="0.25">
      <c r="A238">
        <v>7.8666666666666663</v>
      </c>
      <c r="B238">
        <v>19.689582201326839</v>
      </c>
      <c r="C238">
        <v>-172.43007443308849</v>
      </c>
      <c r="E238">
        <f t="shared" si="7"/>
        <v>19.689582201326839</v>
      </c>
      <c r="F238">
        <f t="shared" si="8"/>
        <v>547.56992556691148</v>
      </c>
    </row>
    <row r="239" spans="1:6" x14ac:dyDescent="0.25">
      <c r="A239">
        <v>7.8999999999999986</v>
      </c>
      <c r="B239">
        <v>20.55642963779837</v>
      </c>
      <c r="C239">
        <v>-168.9085647870773</v>
      </c>
      <c r="E239">
        <f t="shared" si="7"/>
        <v>20.55642963779837</v>
      </c>
      <c r="F239">
        <f t="shared" si="8"/>
        <v>551.09143521292276</v>
      </c>
    </row>
    <row r="240" spans="1:6" x14ac:dyDescent="0.25">
      <c r="A240">
        <v>7.9333333333333336</v>
      </c>
      <c r="B240">
        <v>21.20626149379293</v>
      </c>
      <c r="C240">
        <v>-167.1906305188771</v>
      </c>
      <c r="E240">
        <f t="shared" si="7"/>
        <v>21.20626149379293</v>
      </c>
      <c r="F240">
        <f t="shared" si="8"/>
        <v>552.80936948112287</v>
      </c>
    </row>
    <row r="241" spans="1:6" x14ac:dyDescent="0.25">
      <c r="A241">
        <v>7.9666666666666668</v>
      </c>
      <c r="B241">
        <v>21.20626149379293</v>
      </c>
      <c r="C241">
        <v>-167.1906305188771</v>
      </c>
      <c r="E241">
        <f t="shared" si="7"/>
        <v>21.20626149379293</v>
      </c>
      <c r="F241">
        <f t="shared" si="8"/>
        <v>552.80936948112287</v>
      </c>
    </row>
    <row r="242" spans="1:6" x14ac:dyDescent="0.25">
      <c r="A242">
        <v>8</v>
      </c>
      <c r="B242">
        <v>23.25261612728842</v>
      </c>
      <c r="C242">
        <v>-163.59694617656859</v>
      </c>
      <c r="E242">
        <f t="shared" si="7"/>
        <v>23.25261612728842</v>
      </c>
      <c r="F242">
        <f t="shared" si="8"/>
        <v>556.40305382343138</v>
      </c>
    </row>
    <row r="243" spans="1:6" x14ac:dyDescent="0.25">
      <c r="A243">
        <v>8.0333333333333332</v>
      </c>
      <c r="B243">
        <v>23.932103743054121</v>
      </c>
      <c r="C243">
        <v>-161.72450580511821</v>
      </c>
      <c r="E243">
        <f t="shared" si="7"/>
        <v>23.932103743054121</v>
      </c>
      <c r="F243">
        <f t="shared" si="8"/>
        <v>558.27549419488173</v>
      </c>
    </row>
    <row r="244" spans="1:6" x14ac:dyDescent="0.25">
      <c r="A244">
        <v>8.0666666666666664</v>
      </c>
      <c r="B244">
        <v>23.932103743054121</v>
      </c>
      <c r="C244">
        <v>-161.73128505218801</v>
      </c>
      <c r="E244">
        <f t="shared" si="7"/>
        <v>23.932103743054121</v>
      </c>
      <c r="F244">
        <f t="shared" si="8"/>
        <v>558.26871494781199</v>
      </c>
    </row>
    <row r="245" spans="1:6" x14ac:dyDescent="0.25">
      <c r="A245">
        <v>8.1</v>
      </c>
      <c r="B245">
        <v>25.414856748105979</v>
      </c>
      <c r="C245">
        <v>-158.07411204849021</v>
      </c>
      <c r="E245">
        <f t="shared" si="7"/>
        <v>25.414856748105979</v>
      </c>
      <c r="F245">
        <f t="shared" si="8"/>
        <v>561.92588795150982</v>
      </c>
    </row>
    <row r="246" spans="1:6" x14ac:dyDescent="0.25">
      <c r="A246">
        <v>8.1333333333333329</v>
      </c>
      <c r="B246">
        <v>26.133704607359121</v>
      </c>
      <c r="C246">
        <v>-156.2079232431937</v>
      </c>
      <c r="E246">
        <f t="shared" si="7"/>
        <v>26.133704607359121</v>
      </c>
      <c r="F246">
        <f t="shared" si="8"/>
        <v>563.7920767568063</v>
      </c>
    </row>
    <row r="247" spans="1:6" x14ac:dyDescent="0.25">
      <c r="A247">
        <v>8.1666666666666661</v>
      </c>
      <c r="B247">
        <v>26.04653177526669</v>
      </c>
      <c r="C247">
        <v>-156.22622228827879</v>
      </c>
      <c r="E247">
        <f t="shared" si="7"/>
        <v>26.04653177526669</v>
      </c>
      <c r="F247">
        <f t="shared" si="8"/>
        <v>563.77377771172121</v>
      </c>
    </row>
    <row r="248" spans="1:6" x14ac:dyDescent="0.25">
      <c r="A248">
        <v>8.1999999999999993</v>
      </c>
      <c r="B248">
        <v>27.466411476857228</v>
      </c>
      <c r="C248">
        <v>-152.49736907766831</v>
      </c>
      <c r="E248">
        <f t="shared" si="7"/>
        <v>27.466411476857228</v>
      </c>
      <c r="F248">
        <f t="shared" si="8"/>
        <v>567.50263092233172</v>
      </c>
    </row>
    <row r="249" spans="1:6" x14ac:dyDescent="0.25">
      <c r="A249">
        <v>8.2333333333333325</v>
      </c>
      <c r="B249">
        <v>28.229513778229968</v>
      </c>
      <c r="C249">
        <v>-150.6982448195678</v>
      </c>
      <c r="E249">
        <f t="shared" si="7"/>
        <v>28.229513778229968</v>
      </c>
      <c r="F249">
        <f t="shared" si="8"/>
        <v>569.30175518043222</v>
      </c>
    </row>
    <row r="250" spans="1:6" x14ac:dyDescent="0.25">
      <c r="A250">
        <v>8.2666666666666657</v>
      </c>
      <c r="B250">
        <v>28.229513778229968</v>
      </c>
      <c r="C250">
        <v>-150.6876210310777</v>
      </c>
      <c r="E250">
        <f t="shared" si="7"/>
        <v>28.229513778229968</v>
      </c>
      <c r="F250">
        <f t="shared" si="8"/>
        <v>569.3123789689223</v>
      </c>
    </row>
    <row r="251" spans="1:6" x14ac:dyDescent="0.25">
      <c r="A251">
        <v>8.3000000000000007</v>
      </c>
      <c r="B251">
        <v>29.890348065983851</v>
      </c>
      <c r="C251">
        <v>-146.94603993331839</v>
      </c>
      <c r="E251">
        <f t="shared" si="7"/>
        <v>29.890348065983851</v>
      </c>
      <c r="F251">
        <f t="shared" si="8"/>
        <v>573.05396006668161</v>
      </c>
    </row>
    <row r="252" spans="1:6" x14ac:dyDescent="0.25">
      <c r="A252">
        <v>8.3333333333333339</v>
      </c>
      <c r="B252">
        <v>30.57330441606786</v>
      </c>
      <c r="C252">
        <v>-145.08624588989079</v>
      </c>
      <c r="E252">
        <f t="shared" si="7"/>
        <v>30.57330441606786</v>
      </c>
      <c r="F252">
        <f t="shared" si="8"/>
        <v>574.91375411010927</v>
      </c>
    </row>
    <row r="253" spans="1:6" x14ac:dyDescent="0.25">
      <c r="A253">
        <v>8.3666666666666671</v>
      </c>
      <c r="B253">
        <v>30.57330441606786</v>
      </c>
      <c r="C253">
        <v>-145.1232678923698</v>
      </c>
      <c r="E253">
        <f t="shared" si="7"/>
        <v>30.57330441606786</v>
      </c>
      <c r="F253">
        <f t="shared" si="8"/>
        <v>574.87673210763023</v>
      </c>
    </row>
    <row r="254" spans="1:6" x14ac:dyDescent="0.25">
      <c r="A254">
        <v>8.4</v>
      </c>
      <c r="B254">
        <v>32.167671017469459</v>
      </c>
      <c r="C254">
        <v>-141.48217528860849</v>
      </c>
      <c r="E254">
        <f t="shared" si="7"/>
        <v>32.167671017469459</v>
      </c>
      <c r="F254">
        <f t="shared" si="8"/>
        <v>578.51782471139154</v>
      </c>
    </row>
    <row r="255" spans="1:6" x14ac:dyDescent="0.25">
      <c r="A255">
        <v>8.4333333333333336</v>
      </c>
      <c r="B255">
        <v>32.871139139511001</v>
      </c>
      <c r="C255">
        <v>-139.45627334822859</v>
      </c>
      <c r="E255">
        <f t="shared" si="7"/>
        <v>32.871139139511001</v>
      </c>
      <c r="F255">
        <f t="shared" si="8"/>
        <v>580.54372665177141</v>
      </c>
    </row>
    <row r="256" spans="1:6" x14ac:dyDescent="0.25">
      <c r="A256">
        <v>8.4666666666666668</v>
      </c>
      <c r="B256">
        <v>33.060156183158128</v>
      </c>
      <c r="C256">
        <v>-139.45850988845891</v>
      </c>
      <c r="E256">
        <f t="shared" si="7"/>
        <v>33.060156183158128</v>
      </c>
      <c r="F256">
        <f t="shared" si="8"/>
        <v>580.54149011154107</v>
      </c>
    </row>
    <row r="257" spans="1:6" x14ac:dyDescent="0.25">
      <c r="A257">
        <v>8.5</v>
      </c>
      <c r="B257">
        <v>34.494031378991153</v>
      </c>
      <c r="C257">
        <v>-135.63427968315889</v>
      </c>
      <c r="E257">
        <f t="shared" si="7"/>
        <v>34.494031378991153</v>
      </c>
      <c r="F257">
        <f t="shared" si="8"/>
        <v>584.36572031684113</v>
      </c>
    </row>
    <row r="258" spans="1:6" x14ac:dyDescent="0.25">
      <c r="A258">
        <v>8.5333333333333332</v>
      </c>
      <c r="B258">
        <v>35.445439822091771</v>
      </c>
      <c r="C258">
        <v>-133.70013268864679</v>
      </c>
      <c r="E258">
        <f t="shared" si="7"/>
        <v>35.445439822091771</v>
      </c>
      <c r="F258">
        <f t="shared" si="8"/>
        <v>586.29986731135318</v>
      </c>
    </row>
    <row r="259" spans="1:6" x14ac:dyDescent="0.25">
      <c r="A259">
        <v>8.5666666666666664</v>
      </c>
      <c r="B259">
        <v>35.445439822091771</v>
      </c>
      <c r="C259">
        <v>-133.7391093974453</v>
      </c>
      <c r="E259">
        <f t="shared" ref="E259:E277" si="9">IF(B259&gt;=0, B259,  B259 + 360)</f>
        <v>35.445439822091771</v>
      </c>
      <c r="F259">
        <f t="shared" si="8"/>
        <v>586.2608906025547</v>
      </c>
    </row>
    <row r="260" spans="1:6" x14ac:dyDescent="0.25">
      <c r="A260">
        <v>8.6</v>
      </c>
      <c r="B260">
        <v>36.984683673735312</v>
      </c>
      <c r="C260">
        <v>-129.51334143412791</v>
      </c>
      <c r="E260">
        <f t="shared" si="9"/>
        <v>36.984683673735312</v>
      </c>
      <c r="F260">
        <f t="shared" si="8"/>
        <v>590.48665856587206</v>
      </c>
    </row>
    <row r="261" spans="1:6" x14ac:dyDescent="0.25">
      <c r="A261">
        <v>8.6333333333333329</v>
      </c>
      <c r="B261">
        <v>37.548638161852672</v>
      </c>
      <c r="C261">
        <v>-127.6665194850784</v>
      </c>
      <c r="E261">
        <f t="shared" si="9"/>
        <v>37.548638161852672</v>
      </c>
      <c r="F261">
        <f t="shared" si="8"/>
        <v>592.33348051492158</v>
      </c>
    </row>
    <row r="262" spans="1:6" x14ac:dyDescent="0.25">
      <c r="A262">
        <v>8.6666666666666661</v>
      </c>
      <c r="B262">
        <v>37.548638161852672</v>
      </c>
      <c r="C262">
        <v>-127.6609976024618</v>
      </c>
      <c r="E262">
        <f t="shared" si="9"/>
        <v>37.548638161852672</v>
      </c>
      <c r="F262">
        <f t="shared" si="8"/>
        <v>592.33900239753825</v>
      </c>
    </row>
    <row r="263" spans="1:6" x14ac:dyDescent="0.25">
      <c r="A263">
        <v>8.6999999999999993</v>
      </c>
      <c r="B263">
        <v>38.899702219598659</v>
      </c>
      <c r="C263">
        <v>-123.81769394875469</v>
      </c>
      <c r="E263">
        <f t="shared" si="9"/>
        <v>38.899702219598659</v>
      </c>
      <c r="F263">
        <f t="shared" si="8"/>
        <v>596.18230605124529</v>
      </c>
    </row>
    <row r="264" spans="1:6" x14ac:dyDescent="0.25">
      <c r="A264">
        <v>8.7333333333333325</v>
      </c>
      <c r="B264">
        <v>39.74458912080393</v>
      </c>
      <c r="C264">
        <v>-121.6815944916717</v>
      </c>
      <c r="E264">
        <f t="shared" si="9"/>
        <v>39.74458912080393</v>
      </c>
      <c r="F264">
        <f t="shared" ref="F264:F277" si="10">IF(C264&gt;=0, C264,  C264 + 360) + 360</f>
        <v>598.31840550832828</v>
      </c>
    </row>
    <row r="265" spans="1:6" x14ac:dyDescent="0.25">
      <c r="A265">
        <v>8.7666666666666657</v>
      </c>
      <c r="B265">
        <v>39.74458912080393</v>
      </c>
      <c r="C265">
        <v>-121.64362572105421</v>
      </c>
      <c r="E265">
        <f t="shared" si="9"/>
        <v>39.74458912080393</v>
      </c>
      <c r="F265">
        <f t="shared" si="10"/>
        <v>598.35637427894585</v>
      </c>
    </row>
    <row r="266" spans="1:6" x14ac:dyDescent="0.25">
      <c r="A266">
        <v>8.8000000000000007</v>
      </c>
      <c r="B266">
        <v>41.100310734829307</v>
      </c>
      <c r="C266">
        <v>-117.81194705310661</v>
      </c>
      <c r="E266">
        <f t="shared" si="9"/>
        <v>41.100310734829307</v>
      </c>
      <c r="F266">
        <f t="shared" si="10"/>
        <v>602.18805294689332</v>
      </c>
    </row>
    <row r="267" spans="1:6" x14ac:dyDescent="0.25">
      <c r="A267">
        <v>8.8333333333333339</v>
      </c>
      <c r="B267">
        <v>41.990170190575327</v>
      </c>
      <c r="C267">
        <v>-115.6347116183659</v>
      </c>
      <c r="E267">
        <f t="shared" si="9"/>
        <v>41.990170190575327</v>
      </c>
      <c r="F267">
        <f t="shared" si="10"/>
        <v>604.36528838163417</v>
      </c>
    </row>
    <row r="268" spans="1:6" x14ac:dyDescent="0.25">
      <c r="A268">
        <v>8.8666666666666671</v>
      </c>
      <c r="B268">
        <v>41.990170190575327</v>
      </c>
      <c r="C268">
        <v>-115.7621717711725</v>
      </c>
      <c r="E268">
        <f t="shared" si="9"/>
        <v>41.990170190575327</v>
      </c>
      <c r="F268">
        <f t="shared" si="10"/>
        <v>604.23782822882754</v>
      </c>
    </row>
    <row r="269" spans="1:6" x14ac:dyDescent="0.25">
      <c r="A269">
        <v>8.9</v>
      </c>
      <c r="B269">
        <v>43.179558771366807</v>
      </c>
      <c r="C269">
        <v>-111.24036958623969</v>
      </c>
      <c r="E269">
        <f t="shared" si="9"/>
        <v>43.179558771366807</v>
      </c>
      <c r="F269">
        <f t="shared" si="10"/>
        <v>608.75963041376031</v>
      </c>
    </row>
    <row r="270" spans="1:6" x14ac:dyDescent="0.25">
      <c r="A270">
        <v>8.9333333333333336</v>
      </c>
      <c r="B270">
        <v>43.985437731944437</v>
      </c>
      <c r="C270">
        <v>-108.6239793315257</v>
      </c>
      <c r="E270">
        <f t="shared" si="9"/>
        <v>43.985437731944437</v>
      </c>
      <c r="F270">
        <f t="shared" si="10"/>
        <v>611.37602066847433</v>
      </c>
    </row>
    <row r="271" spans="1:6" x14ac:dyDescent="0.25">
      <c r="A271">
        <v>8.9666666666666668</v>
      </c>
      <c r="B271">
        <v>43.985437731944437</v>
      </c>
      <c r="C271">
        <v>-108.6051875859347</v>
      </c>
      <c r="E271">
        <f t="shared" si="9"/>
        <v>43.985437731944437</v>
      </c>
      <c r="F271">
        <f t="shared" si="10"/>
        <v>611.39481241406531</v>
      </c>
    </row>
    <row r="272" spans="1:6" x14ac:dyDescent="0.25">
      <c r="A272">
        <v>9</v>
      </c>
      <c r="B272">
        <v>45.939900566430509</v>
      </c>
      <c r="C272">
        <v>-102.6375602102441</v>
      </c>
      <c r="E272">
        <f t="shared" si="9"/>
        <v>45.939900566430509</v>
      </c>
      <c r="F272">
        <f t="shared" si="10"/>
        <v>617.36243978975585</v>
      </c>
    </row>
    <row r="273" spans="1:6" x14ac:dyDescent="0.25">
      <c r="A273">
        <v>9.0333333333333332</v>
      </c>
      <c r="B273">
        <v>47.389647127899423</v>
      </c>
      <c r="C273">
        <v>-99.146557260799227</v>
      </c>
      <c r="E273">
        <f t="shared" si="9"/>
        <v>47.389647127899423</v>
      </c>
      <c r="F273">
        <f t="shared" si="10"/>
        <v>620.85344273920077</v>
      </c>
    </row>
    <row r="274" spans="1:6" x14ac:dyDescent="0.25">
      <c r="A274">
        <v>9.0666666666666664</v>
      </c>
      <c r="B274">
        <v>47.389647127899423</v>
      </c>
      <c r="C274">
        <v>-99.211855576645192</v>
      </c>
      <c r="E274">
        <f t="shared" si="9"/>
        <v>47.389647127899423</v>
      </c>
      <c r="F274">
        <f t="shared" si="10"/>
        <v>620.78814442335488</v>
      </c>
    </row>
    <row r="275" spans="1:6" x14ac:dyDescent="0.25">
      <c r="A275">
        <v>9.1</v>
      </c>
      <c r="B275">
        <v>51.516485264144563</v>
      </c>
      <c r="C275">
        <v>-89.258336311705023</v>
      </c>
      <c r="E275">
        <f t="shared" si="9"/>
        <v>51.516485264144563</v>
      </c>
      <c r="F275">
        <f t="shared" si="10"/>
        <v>630.74166368829492</v>
      </c>
    </row>
    <row r="276" spans="1:6" x14ac:dyDescent="0.25">
      <c r="A276">
        <v>9.1333333333333329</v>
      </c>
      <c r="B276">
        <v>55.887717190220357</v>
      </c>
      <c r="C276">
        <v>-67.275426696850673</v>
      </c>
      <c r="E276">
        <f t="shared" si="9"/>
        <v>55.887717190220357</v>
      </c>
      <c r="F276">
        <f t="shared" si="10"/>
        <v>652.72457330314933</v>
      </c>
    </row>
    <row r="277" spans="1:6" x14ac:dyDescent="0.25">
      <c r="A277">
        <v>9.1666666666666661</v>
      </c>
      <c r="B277">
        <v>55.887717190220357</v>
      </c>
      <c r="C277">
        <v>-67.14141169468455</v>
      </c>
      <c r="E277">
        <f t="shared" si="9"/>
        <v>55.887717190220357</v>
      </c>
      <c r="F277">
        <f t="shared" si="10"/>
        <v>652.85858830531538</v>
      </c>
    </row>
    <row r="278" spans="1:6" x14ac:dyDescent="0.25">
      <c r="A278">
        <v>9.1999999999999993</v>
      </c>
    </row>
    <row r="279" spans="1:6" x14ac:dyDescent="0.25">
      <c r="A279">
        <v>9.2333333333333325</v>
      </c>
    </row>
    <row r="280" spans="1:6" x14ac:dyDescent="0.25">
      <c r="A280">
        <v>9.2666666666666657</v>
      </c>
    </row>
    <row r="281" spans="1:6" x14ac:dyDescent="0.25">
      <c r="A281">
        <v>9.3000000000000007</v>
      </c>
    </row>
    <row r="282" spans="1:6" x14ac:dyDescent="0.25">
      <c r="A282">
        <v>9.3333333333333339</v>
      </c>
    </row>
    <row r="283" spans="1:6" x14ac:dyDescent="0.25">
      <c r="A283">
        <v>9.3666666666666671</v>
      </c>
    </row>
    <row r="284" spans="1:6" x14ac:dyDescent="0.25">
      <c r="A284">
        <v>9.4</v>
      </c>
    </row>
    <row r="285" spans="1:6" x14ac:dyDescent="0.25">
      <c r="A285">
        <v>9.4333333333333336</v>
      </c>
    </row>
    <row r="286" spans="1:6" x14ac:dyDescent="0.25">
      <c r="A286">
        <v>9.4666666666666668</v>
      </c>
    </row>
    <row r="287" spans="1:6" x14ac:dyDescent="0.25">
      <c r="A287">
        <v>9.5</v>
      </c>
    </row>
    <row r="288" spans="1:6" x14ac:dyDescent="0.25">
      <c r="A288">
        <v>9.5333333333333332</v>
      </c>
    </row>
    <row r="289" spans="1:1" x14ac:dyDescent="0.25">
      <c r="A289">
        <v>9.5666666666666664</v>
      </c>
    </row>
    <row r="290" spans="1:1" x14ac:dyDescent="0.25">
      <c r="A290">
        <v>9.6</v>
      </c>
    </row>
    <row r="291" spans="1:1" x14ac:dyDescent="0.25">
      <c r="A291">
        <v>9.6333333333333329</v>
      </c>
    </row>
    <row r="292" spans="1:1" x14ac:dyDescent="0.25">
      <c r="A292">
        <v>9.6666666666666661</v>
      </c>
    </row>
    <row r="293" spans="1:1" x14ac:dyDescent="0.25">
      <c r="A293">
        <v>9.6999999999999993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F64E-31B8-476D-9DD6-1C7C763CECCF}">
  <dimension ref="A1:N143"/>
  <sheetViews>
    <sheetView zoomScale="110" zoomScaleNormal="110" workbookViewId="0">
      <selection activeCell="F5" sqref="F5"/>
    </sheetView>
  </sheetViews>
  <sheetFormatPr defaultRowHeight="15" x14ac:dyDescent="0.25"/>
  <cols>
    <col min="6" max="6" width="19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5" t="s">
        <v>7</v>
      </c>
      <c r="E1" s="5"/>
      <c r="F1" s="5"/>
      <c r="H1" s="4" t="s">
        <v>5</v>
      </c>
      <c r="I1" s="4" t="s">
        <v>6</v>
      </c>
      <c r="L1" t="s">
        <v>9</v>
      </c>
    </row>
    <row r="2" spans="1:14" x14ac:dyDescent="0.25">
      <c r="A2">
        <v>0</v>
      </c>
      <c r="B2">
        <v>21.422781275579879</v>
      </c>
      <c r="C2">
        <v>175.97332933931841</v>
      </c>
      <c r="D2">
        <f>IF(C2&gt;=0,C2,C2+360)</f>
        <v>175.97332933931841</v>
      </c>
      <c r="G2">
        <f xml:space="preserve"> 56.83 * (A2+$F$7) + 104.81 - MOD(56.83 * (A2+$F$7) + 104.81,  360)</f>
        <v>313920</v>
      </c>
      <c r="H2">
        <f xml:space="preserve"> 56.83 * (A2+$F$7) + 104.81 - $G$2</f>
        <v>309.7934918703977</v>
      </c>
      <c r="I2">
        <f>MOD(H2, 360)</f>
        <v>309.7934918703977</v>
      </c>
      <c r="L2">
        <f t="shared" ref="L2:L31" si="0">D2-H2</f>
        <v>-133.82016253107929</v>
      </c>
      <c r="N2">
        <f>STDEV(L2:L143)</f>
        <v>4.1077013129124786</v>
      </c>
    </row>
    <row r="3" spans="1:14" x14ac:dyDescent="0.25">
      <c r="A3">
        <v>3.3333333333333333E-2</v>
      </c>
      <c r="B3">
        <v>21.422781275579879</v>
      </c>
      <c r="C3">
        <v>177.932821758605</v>
      </c>
      <c r="D3">
        <f t="shared" ref="D3:D53" si="1">IF(C3&gt;=0,C3,C3+360)</f>
        <v>177.932821758605</v>
      </c>
      <c r="F3" t="s">
        <v>15</v>
      </c>
      <c r="H3">
        <f t="shared" ref="H3:H66" si="2" xml:space="preserve"> 56.83 * (A3+$F$7) + 104.81 - $G$2</f>
        <v>311.6878252037568</v>
      </c>
      <c r="I3">
        <f t="shared" ref="I3:I37" si="3">MOD(H3, 360)</f>
        <v>311.6878252037568</v>
      </c>
      <c r="L3">
        <f t="shared" si="0"/>
        <v>-133.7550034451518</v>
      </c>
      <c r="N3">
        <f>AVERAGE(L2:L143)</f>
        <v>-130.49199324364656</v>
      </c>
    </row>
    <row r="4" spans="1:14" x14ac:dyDescent="0.25">
      <c r="A4">
        <v>6.6666666666666666E-2</v>
      </c>
      <c r="B4">
        <v>21.8556475837498</v>
      </c>
      <c r="C4">
        <v>179.53120320388041</v>
      </c>
      <c r="D4">
        <f t="shared" si="1"/>
        <v>179.53120320388041</v>
      </c>
      <c r="F4" s="6">
        <f>1693848081.35 - 3600</f>
        <v>1693844481.3499999</v>
      </c>
      <c r="H4">
        <f t="shared" si="2"/>
        <v>313.58215853705769</v>
      </c>
      <c r="I4">
        <f t="shared" si="3"/>
        <v>313.58215853705769</v>
      </c>
      <c r="L4">
        <f t="shared" si="0"/>
        <v>-134.05095533317728</v>
      </c>
    </row>
    <row r="5" spans="1:14" x14ac:dyDescent="0.25">
      <c r="A5">
        <v>0.1</v>
      </c>
      <c r="B5">
        <v>22.288241903355619</v>
      </c>
      <c r="C5">
        <v>-178.4313133179258</v>
      </c>
      <c r="D5">
        <f t="shared" si="1"/>
        <v>181.5686866820742</v>
      </c>
      <c r="H5">
        <f t="shared" si="2"/>
        <v>315.47649187041679</v>
      </c>
      <c r="I5">
        <f t="shared" si="3"/>
        <v>315.47649187041679</v>
      </c>
      <c r="L5">
        <f t="shared" si="0"/>
        <v>-133.90780518834259</v>
      </c>
    </row>
    <row r="6" spans="1:14" x14ac:dyDescent="0.25">
      <c r="A6">
        <v>0.1333333333333333</v>
      </c>
      <c r="B6">
        <v>22.512131069841239</v>
      </c>
      <c r="C6">
        <v>-176.5526113104637</v>
      </c>
      <c r="D6">
        <f t="shared" si="1"/>
        <v>183.4473886895363</v>
      </c>
      <c r="F6" t="s">
        <v>16</v>
      </c>
      <c r="H6">
        <f t="shared" si="2"/>
        <v>317.37082520371769</v>
      </c>
      <c r="I6">
        <f t="shared" si="3"/>
        <v>317.37082520371769</v>
      </c>
      <c r="L6">
        <f t="shared" si="0"/>
        <v>-133.92343651418139</v>
      </c>
    </row>
    <row r="7" spans="1:14" x14ac:dyDescent="0.25">
      <c r="A7">
        <v>0.16666666666666671</v>
      </c>
      <c r="B7">
        <v>22.720515222269199</v>
      </c>
      <c r="C7">
        <v>-174.45947703382771</v>
      </c>
      <c r="D7">
        <f t="shared" si="1"/>
        <v>185.54052296617229</v>
      </c>
      <c r="F7">
        <f>F4-'att6'!H2-'att6'!A293</f>
        <v>5527.449999856949</v>
      </c>
      <c r="H7">
        <f t="shared" si="2"/>
        <v>319.26515853707679</v>
      </c>
      <c r="I7">
        <f t="shared" si="3"/>
        <v>319.26515853707679</v>
      </c>
      <c r="L7">
        <f t="shared" si="0"/>
        <v>-133.7246355709045</v>
      </c>
    </row>
    <row r="8" spans="1:14" x14ac:dyDescent="0.25">
      <c r="A8">
        <v>0.2</v>
      </c>
      <c r="B8">
        <v>22.943258147742149</v>
      </c>
      <c r="C8">
        <v>-172.90799577101629</v>
      </c>
      <c r="D8">
        <f t="shared" si="1"/>
        <v>187.09200422898371</v>
      </c>
      <c r="H8">
        <f t="shared" si="2"/>
        <v>321.15949187037768</v>
      </c>
      <c r="I8">
        <f t="shared" si="3"/>
        <v>321.15949187037768</v>
      </c>
      <c r="L8">
        <f t="shared" si="0"/>
        <v>-134.06748764139397</v>
      </c>
    </row>
    <row r="9" spans="1:14" x14ac:dyDescent="0.25">
      <c r="A9">
        <v>0.23333333333333331</v>
      </c>
      <c r="B9">
        <v>23.177725020500819</v>
      </c>
      <c r="C9">
        <v>-171.05529185920261</v>
      </c>
      <c r="D9">
        <f t="shared" si="1"/>
        <v>188.94470814079739</v>
      </c>
      <c r="H9">
        <f t="shared" si="2"/>
        <v>323.05382520373678</v>
      </c>
      <c r="I9">
        <f t="shared" si="3"/>
        <v>323.05382520373678</v>
      </c>
      <c r="L9">
        <f t="shared" si="0"/>
        <v>-134.10911706293939</v>
      </c>
    </row>
    <row r="10" spans="1:14" x14ac:dyDescent="0.25">
      <c r="A10">
        <v>0.26666666666666672</v>
      </c>
      <c r="B10">
        <v>23.515228902894659</v>
      </c>
      <c r="C10">
        <v>-169.2885550580998</v>
      </c>
      <c r="D10">
        <f t="shared" si="1"/>
        <v>190.7114449419002</v>
      </c>
      <c r="H10">
        <f t="shared" si="2"/>
        <v>324.94815853703767</v>
      </c>
      <c r="I10">
        <f t="shared" si="3"/>
        <v>324.94815853703767</v>
      </c>
      <c r="L10">
        <f t="shared" si="0"/>
        <v>-134.23671359513747</v>
      </c>
    </row>
    <row r="11" spans="1:14" x14ac:dyDescent="0.25">
      <c r="A11">
        <v>0.3</v>
      </c>
      <c r="B11">
        <v>23.932103743054121</v>
      </c>
      <c r="C11">
        <v>-167.88456133006849</v>
      </c>
      <c r="D11">
        <f t="shared" si="1"/>
        <v>192.11543866993151</v>
      </c>
      <c r="H11">
        <f t="shared" si="2"/>
        <v>326.84249187039677</v>
      </c>
      <c r="I11">
        <f t="shared" si="3"/>
        <v>326.84249187039677</v>
      </c>
      <c r="L11">
        <f t="shared" si="0"/>
        <v>-134.72705320046526</v>
      </c>
    </row>
    <row r="12" spans="1:14" x14ac:dyDescent="0.25">
      <c r="A12">
        <v>0.33333333333333331</v>
      </c>
      <c r="B12">
        <v>24.215542392824329</v>
      </c>
      <c r="C12">
        <v>-165.77049537917631</v>
      </c>
      <c r="D12">
        <f t="shared" si="1"/>
        <v>194.22950462082369</v>
      </c>
      <c r="H12">
        <f t="shared" si="2"/>
        <v>328.73682520369766</v>
      </c>
      <c r="I12">
        <f t="shared" si="3"/>
        <v>328.73682520369766</v>
      </c>
      <c r="L12">
        <f t="shared" si="0"/>
        <v>-134.50732058287397</v>
      </c>
    </row>
    <row r="13" spans="1:14" x14ac:dyDescent="0.25">
      <c r="A13">
        <v>0.36666666666666659</v>
      </c>
      <c r="B13">
        <v>24.46409652476142</v>
      </c>
      <c r="C13">
        <v>-164.1087872626851</v>
      </c>
      <c r="D13">
        <f t="shared" si="1"/>
        <v>195.8912127373149</v>
      </c>
      <c r="H13">
        <f t="shared" si="2"/>
        <v>330.63115853705676</v>
      </c>
      <c r="I13">
        <f t="shared" si="3"/>
        <v>330.63115853705676</v>
      </c>
      <c r="L13">
        <f t="shared" si="0"/>
        <v>-134.73994579974186</v>
      </c>
    </row>
    <row r="14" spans="1:14" x14ac:dyDescent="0.25">
      <c r="A14">
        <v>0.4</v>
      </c>
      <c r="B14">
        <v>24.77122653580598</v>
      </c>
      <c r="C14">
        <v>-162.4911967746819</v>
      </c>
      <c r="D14">
        <f t="shared" si="1"/>
        <v>197.5088032253181</v>
      </c>
      <c r="H14">
        <f t="shared" si="2"/>
        <v>332.52549187035765</v>
      </c>
      <c r="I14">
        <f t="shared" si="3"/>
        <v>332.52549187035765</v>
      </c>
      <c r="L14">
        <f t="shared" si="0"/>
        <v>-135.01668864503955</v>
      </c>
    </row>
    <row r="15" spans="1:14" x14ac:dyDescent="0.25">
      <c r="A15">
        <v>0.43333333333333329</v>
      </c>
      <c r="B15">
        <v>25.09011391094986</v>
      </c>
      <c r="C15">
        <v>-160.44654880252929</v>
      </c>
      <c r="D15">
        <f t="shared" si="1"/>
        <v>199.55345119747071</v>
      </c>
      <c r="H15">
        <f t="shared" si="2"/>
        <v>334.41982520371675</v>
      </c>
      <c r="I15">
        <f t="shared" si="3"/>
        <v>334.41982520371675</v>
      </c>
      <c r="L15">
        <f t="shared" si="0"/>
        <v>-134.86637400624605</v>
      </c>
    </row>
    <row r="16" spans="1:14" x14ac:dyDescent="0.25">
      <c r="A16">
        <v>0.46666666666666667</v>
      </c>
      <c r="B16">
        <v>25.568672416832481</v>
      </c>
      <c r="C16">
        <v>-158.58933186923119</v>
      </c>
      <c r="D16">
        <f t="shared" si="1"/>
        <v>201.41066813076881</v>
      </c>
      <c r="H16">
        <f t="shared" si="2"/>
        <v>336.31415853701765</v>
      </c>
      <c r="I16">
        <f t="shared" si="3"/>
        <v>336.31415853701765</v>
      </c>
      <c r="L16">
        <f t="shared" si="0"/>
        <v>-134.90349040624884</v>
      </c>
    </row>
    <row r="17" spans="1:12" x14ac:dyDescent="0.25">
      <c r="A17">
        <v>0.5</v>
      </c>
      <c r="B17">
        <v>25.890129324184649</v>
      </c>
      <c r="C17">
        <v>-156.70833121219189</v>
      </c>
      <c r="D17">
        <f t="shared" si="1"/>
        <v>203.29166878780811</v>
      </c>
      <c r="H17">
        <f t="shared" si="2"/>
        <v>338.20849187037675</v>
      </c>
      <c r="I17">
        <f t="shared" si="3"/>
        <v>338.20849187037675</v>
      </c>
      <c r="L17">
        <f t="shared" si="0"/>
        <v>-134.91682308256864</v>
      </c>
    </row>
    <row r="18" spans="1:12" x14ac:dyDescent="0.25">
      <c r="A18">
        <v>0.53333333333333333</v>
      </c>
      <c r="B18">
        <v>26.226542440619031</v>
      </c>
      <c r="C18">
        <v>-155.0027782291705</v>
      </c>
      <c r="D18">
        <f t="shared" si="1"/>
        <v>204.9972217708295</v>
      </c>
      <c r="H18">
        <f t="shared" si="2"/>
        <v>340.10282520373585</v>
      </c>
      <c r="I18">
        <f t="shared" si="3"/>
        <v>340.10282520373585</v>
      </c>
      <c r="L18">
        <f t="shared" si="0"/>
        <v>-135.10560343290635</v>
      </c>
    </row>
    <row r="19" spans="1:12" x14ac:dyDescent="0.25">
      <c r="A19">
        <v>0.56666666666666665</v>
      </c>
      <c r="B19">
        <v>26.649741499200001</v>
      </c>
      <c r="C19">
        <v>-153.06670443290449</v>
      </c>
      <c r="D19">
        <f t="shared" si="1"/>
        <v>206.93329556709551</v>
      </c>
      <c r="H19">
        <f t="shared" si="2"/>
        <v>341.99715853703674</v>
      </c>
      <c r="I19">
        <f t="shared" si="3"/>
        <v>341.99715853703674</v>
      </c>
      <c r="L19">
        <f t="shared" si="0"/>
        <v>-135.06386296994123</v>
      </c>
    </row>
    <row r="20" spans="1:12" x14ac:dyDescent="0.25">
      <c r="A20">
        <v>0.6</v>
      </c>
      <c r="B20">
        <v>27.01196475973455</v>
      </c>
      <c r="C20">
        <v>-151.23902224515001</v>
      </c>
      <c r="D20">
        <f t="shared" si="1"/>
        <v>208.76097775484999</v>
      </c>
      <c r="H20">
        <f t="shared" si="2"/>
        <v>343.89149187039584</v>
      </c>
      <c r="I20">
        <f t="shared" si="3"/>
        <v>343.89149187039584</v>
      </c>
      <c r="L20">
        <f t="shared" si="0"/>
        <v>-135.13051411554585</v>
      </c>
    </row>
    <row r="21" spans="1:12" x14ac:dyDescent="0.25">
      <c r="A21">
        <v>0.6333333333333333</v>
      </c>
      <c r="B21">
        <v>27.38003258269103</v>
      </c>
      <c r="C21">
        <v>-149.53098420864609</v>
      </c>
      <c r="D21">
        <f t="shared" si="1"/>
        <v>210.46901579135391</v>
      </c>
      <c r="H21">
        <f t="shared" si="2"/>
        <v>345.78582520375494</v>
      </c>
      <c r="I21">
        <f t="shared" si="3"/>
        <v>345.78582520375494</v>
      </c>
      <c r="L21">
        <f t="shared" si="0"/>
        <v>-135.31680941240103</v>
      </c>
    </row>
    <row r="22" spans="1:12" x14ac:dyDescent="0.25">
      <c r="A22">
        <v>0.66666666666666663</v>
      </c>
      <c r="B22">
        <v>27.780551707183019</v>
      </c>
      <c r="C22">
        <v>-147.70513063832311</v>
      </c>
      <c r="D22">
        <f t="shared" si="1"/>
        <v>212.29486936167689</v>
      </c>
      <c r="H22">
        <f t="shared" si="2"/>
        <v>347.68015853711404</v>
      </c>
      <c r="I22">
        <f t="shared" si="3"/>
        <v>347.68015853711404</v>
      </c>
      <c r="L22">
        <f t="shared" si="0"/>
        <v>-135.38528917543715</v>
      </c>
    </row>
    <row r="23" spans="1:12" x14ac:dyDescent="0.25">
      <c r="A23">
        <v>0.7</v>
      </c>
      <c r="B23">
        <v>28.247692353018799</v>
      </c>
      <c r="C23">
        <v>-145.87303736694619</v>
      </c>
      <c r="D23">
        <f t="shared" si="1"/>
        <v>214.12696263305381</v>
      </c>
      <c r="H23">
        <f t="shared" si="2"/>
        <v>349.57449187041493</v>
      </c>
      <c r="I23">
        <f t="shared" si="3"/>
        <v>349.57449187041493</v>
      </c>
      <c r="L23">
        <f t="shared" si="0"/>
        <v>-135.44752923736112</v>
      </c>
    </row>
    <row r="24" spans="1:12" x14ac:dyDescent="0.25">
      <c r="A24">
        <v>0.73333333333333328</v>
      </c>
      <c r="B24">
        <v>28.419701289792808</v>
      </c>
      <c r="C24">
        <v>-144.02280905876361</v>
      </c>
      <c r="D24">
        <f t="shared" si="1"/>
        <v>215.97719094123639</v>
      </c>
      <c r="H24">
        <f t="shared" si="2"/>
        <v>351.46882520377403</v>
      </c>
      <c r="I24">
        <f t="shared" si="3"/>
        <v>351.46882520377403</v>
      </c>
      <c r="L24">
        <f t="shared" si="0"/>
        <v>-135.49163426253764</v>
      </c>
    </row>
    <row r="25" spans="1:12" x14ac:dyDescent="0.25">
      <c r="A25">
        <v>0.76666666666666661</v>
      </c>
      <c r="B25">
        <v>29.096181160514639</v>
      </c>
      <c r="C25">
        <v>-142.06592221288699</v>
      </c>
      <c r="D25">
        <f t="shared" si="1"/>
        <v>217.93407778711301</v>
      </c>
      <c r="H25">
        <f t="shared" si="2"/>
        <v>353.36315853707492</v>
      </c>
      <c r="I25">
        <f t="shared" si="3"/>
        <v>353.36315853707492</v>
      </c>
      <c r="L25">
        <f t="shared" si="0"/>
        <v>-135.42908074996191</v>
      </c>
    </row>
    <row r="26" spans="1:12" x14ac:dyDescent="0.25">
      <c r="A26">
        <v>0.8</v>
      </c>
      <c r="B26">
        <v>29.364770825980742</v>
      </c>
      <c r="C26">
        <v>-139.9009339500613</v>
      </c>
      <c r="D26">
        <f t="shared" si="1"/>
        <v>220.0990660499387</v>
      </c>
      <c r="H26">
        <f t="shared" si="2"/>
        <v>355.25749187043402</v>
      </c>
      <c r="I26">
        <f t="shared" si="3"/>
        <v>355.25749187043402</v>
      </c>
      <c r="L26">
        <f t="shared" si="0"/>
        <v>-135.15842582049532</v>
      </c>
    </row>
    <row r="27" spans="1:12" x14ac:dyDescent="0.25">
      <c r="A27">
        <v>0.83333333333333337</v>
      </c>
      <c r="B27">
        <v>29.766602179148279</v>
      </c>
      <c r="C27">
        <v>-137.99979506872981</v>
      </c>
      <c r="D27">
        <f t="shared" si="1"/>
        <v>222.00020493127019</v>
      </c>
      <c r="H27">
        <f t="shared" si="2"/>
        <v>357.15182520373492</v>
      </c>
      <c r="I27">
        <f t="shared" si="3"/>
        <v>357.15182520373492</v>
      </c>
      <c r="L27">
        <f t="shared" si="0"/>
        <v>-135.15162027246473</v>
      </c>
    </row>
    <row r="28" spans="1:12" x14ac:dyDescent="0.25">
      <c r="A28">
        <v>0.8666666666666667</v>
      </c>
      <c r="B28">
        <v>30.227349249223408</v>
      </c>
      <c r="C28">
        <v>-136.18875543689541</v>
      </c>
      <c r="D28">
        <f t="shared" si="1"/>
        <v>223.81124456310459</v>
      </c>
      <c r="H28">
        <f t="shared" si="2"/>
        <v>359.04615853709402</v>
      </c>
      <c r="I28">
        <f t="shared" si="3"/>
        <v>359.04615853709402</v>
      </c>
      <c r="L28">
        <f t="shared" si="0"/>
        <v>-135.23491397398942</v>
      </c>
    </row>
    <row r="29" spans="1:12" x14ac:dyDescent="0.25">
      <c r="A29">
        <v>0.9</v>
      </c>
      <c r="B29">
        <v>30.643481303031781</v>
      </c>
      <c r="C29">
        <v>-134.355447981905</v>
      </c>
      <c r="D29">
        <f t="shared" si="1"/>
        <v>225.644552018095</v>
      </c>
      <c r="H29">
        <f t="shared" si="2"/>
        <v>360.94049187039491</v>
      </c>
      <c r="I29">
        <f t="shared" si="3"/>
        <v>0.94049187039490789</v>
      </c>
      <c r="L29">
        <f t="shared" si="0"/>
        <v>-135.29593985229991</v>
      </c>
    </row>
    <row r="30" spans="1:12" x14ac:dyDescent="0.25">
      <c r="A30">
        <v>0.93333333333333335</v>
      </c>
      <c r="B30">
        <v>31.102591137384518</v>
      </c>
      <c r="C30">
        <v>-132.00349403395279</v>
      </c>
      <c r="D30">
        <f t="shared" si="1"/>
        <v>227.99650596604721</v>
      </c>
      <c r="H30">
        <f t="shared" si="2"/>
        <v>362.83482520375401</v>
      </c>
      <c r="I30">
        <f t="shared" si="3"/>
        <v>2.8348252037540078</v>
      </c>
      <c r="L30">
        <f t="shared" si="0"/>
        <v>-134.8383192377068</v>
      </c>
    </row>
    <row r="31" spans="1:12" x14ac:dyDescent="0.25">
      <c r="A31">
        <v>0.96666666666666667</v>
      </c>
      <c r="B31">
        <v>31.405850223132351</v>
      </c>
      <c r="C31">
        <v>-130.22110568520091</v>
      </c>
      <c r="D31">
        <f t="shared" si="1"/>
        <v>229.77889431479909</v>
      </c>
      <c r="H31">
        <f t="shared" si="2"/>
        <v>364.7291585370549</v>
      </c>
      <c r="I31">
        <f t="shared" si="3"/>
        <v>4.7291585370549001</v>
      </c>
      <c r="L31">
        <f t="shared" si="0"/>
        <v>-134.95026422225581</v>
      </c>
    </row>
    <row r="32" spans="1:12" x14ac:dyDescent="0.25">
      <c r="A32">
        <v>1</v>
      </c>
      <c r="H32">
        <f t="shared" si="2"/>
        <v>366.623491870414</v>
      </c>
      <c r="I32">
        <f t="shared" si="3"/>
        <v>6.623491870414</v>
      </c>
    </row>
    <row r="33" spans="1:9" x14ac:dyDescent="0.25">
      <c r="A33">
        <v>1.033333333333333</v>
      </c>
      <c r="H33">
        <f t="shared" si="2"/>
        <v>368.5178252037731</v>
      </c>
      <c r="I33">
        <f t="shared" si="3"/>
        <v>8.5178252037730999</v>
      </c>
    </row>
    <row r="34" spans="1:9" x14ac:dyDescent="0.25">
      <c r="A34">
        <v>1.0666666666666671</v>
      </c>
      <c r="H34">
        <f t="shared" si="2"/>
        <v>370.41215853707399</v>
      </c>
      <c r="I34">
        <f t="shared" si="3"/>
        <v>10.412158537073992</v>
      </c>
    </row>
    <row r="35" spans="1:9" x14ac:dyDescent="0.25">
      <c r="A35">
        <v>1.1000000000000001</v>
      </c>
      <c r="H35">
        <f t="shared" si="2"/>
        <v>372.30649187043309</v>
      </c>
      <c r="I35">
        <f t="shared" si="3"/>
        <v>12.306491870433092</v>
      </c>
    </row>
    <row r="36" spans="1:9" x14ac:dyDescent="0.25">
      <c r="A36">
        <v>1.1333333333333331</v>
      </c>
      <c r="H36">
        <f t="shared" si="2"/>
        <v>374.20082520373398</v>
      </c>
      <c r="I36">
        <f t="shared" si="3"/>
        <v>14.200825203733984</v>
      </c>
    </row>
    <row r="37" spans="1:9" x14ac:dyDescent="0.25">
      <c r="A37">
        <v>1.166666666666667</v>
      </c>
      <c r="H37">
        <f t="shared" si="2"/>
        <v>376.09515853709308</v>
      </c>
      <c r="I37">
        <f t="shared" si="3"/>
        <v>16.095158537093084</v>
      </c>
    </row>
    <row r="38" spans="1:9" x14ac:dyDescent="0.25">
      <c r="A38">
        <v>1.2</v>
      </c>
      <c r="H38">
        <f t="shared" si="2"/>
        <v>377.98949187039398</v>
      </c>
      <c r="I38">
        <f>MOD(H38, 360) + 360</f>
        <v>377.98949187039398</v>
      </c>
    </row>
    <row r="39" spans="1:9" x14ac:dyDescent="0.25">
      <c r="A39">
        <v>1.2333333333333329</v>
      </c>
      <c r="H39">
        <f t="shared" si="2"/>
        <v>379.88382520375308</v>
      </c>
      <c r="I39">
        <f t="shared" ref="I39:I82" si="4">MOD(H39, 360) + 360</f>
        <v>379.88382520375308</v>
      </c>
    </row>
    <row r="40" spans="1:9" x14ac:dyDescent="0.25">
      <c r="A40">
        <v>1.2666666666666671</v>
      </c>
      <c r="H40">
        <f t="shared" si="2"/>
        <v>381.77815853705397</v>
      </c>
      <c r="I40">
        <f t="shared" si="4"/>
        <v>381.77815853705397</v>
      </c>
    </row>
    <row r="41" spans="1:9" x14ac:dyDescent="0.25">
      <c r="A41">
        <v>1.3</v>
      </c>
      <c r="H41">
        <f t="shared" si="2"/>
        <v>383.67249187041307</v>
      </c>
      <c r="I41">
        <f t="shared" si="4"/>
        <v>383.67249187041307</v>
      </c>
    </row>
    <row r="42" spans="1:9" x14ac:dyDescent="0.25">
      <c r="A42">
        <v>1.333333333333333</v>
      </c>
      <c r="H42">
        <f t="shared" si="2"/>
        <v>385.56682520371396</v>
      </c>
      <c r="I42">
        <f t="shared" si="4"/>
        <v>385.56682520371396</v>
      </c>
    </row>
    <row r="43" spans="1:9" x14ac:dyDescent="0.25">
      <c r="A43">
        <v>1.3666666666666669</v>
      </c>
      <c r="H43">
        <f t="shared" si="2"/>
        <v>387.46115853707306</v>
      </c>
      <c r="I43">
        <f t="shared" si="4"/>
        <v>387.46115853707306</v>
      </c>
    </row>
    <row r="44" spans="1:9" x14ac:dyDescent="0.25">
      <c r="A44">
        <v>1.4</v>
      </c>
      <c r="H44">
        <f t="shared" si="2"/>
        <v>389.35549187037395</v>
      </c>
      <c r="I44">
        <f t="shared" si="4"/>
        <v>389.35549187037395</v>
      </c>
    </row>
    <row r="45" spans="1:9" x14ac:dyDescent="0.25">
      <c r="A45">
        <v>1.4333333333333329</v>
      </c>
      <c r="H45">
        <f t="shared" si="2"/>
        <v>391.24982520373305</v>
      </c>
      <c r="I45">
        <f t="shared" si="4"/>
        <v>391.24982520373305</v>
      </c>
    </row>
    <row r="46" spans="1:9" x14ac:dyDescent="0.25">
      <c r="A46">
        <v>1.466666666666667</v>
      </c>
      <c r="H46">
        <f t="shared" si="2"/>
        <v>393.14415853703395</v>
      </c>
      <c r="I46">
        <f t="shared" si="4"/>
        <v>393.14415853703395</v>
      </c>
    </row>
    <row r="47" spans="1:9" x14ac:dyDescent="0.25">
      <c r="A47">
        <v>1.5</v>
      </c>
      <c r="H47">
        <f t="shared" si="2"/>
        <v>395.03849187039305</v>
      </c>
      <c r="I47">
        <f t="shared" si="4"/>
        <v>395.03849187039305</v>
      </c>
    </row>
    <row r="48" spans="1:9" x14ac:dyDescent="0.25">
      <c r="A48">
        <v>1.533333333333333</v>
      </c>
      <c r="H48">
        <f t="shared" si="2"/>
        <v>396.93282520375215</v>
      </c>
      <c r="I48">
        <f t="shared" si="4"/>
        <v>396.93282520375215</v>
      </c>
    </row>
    <row r="49" spans="1:12" x14ac:dyDescent="0.25">
      <c r="A49">
        <v>1.5666666666666671</v>
      </c>
      <c r="H49">
        <f t="shared" si="2"/>
        <v>398.82715853705304</v>
      </c>
      <c r="I49">
        <f t="shared" si="4"/>
        <v>398.82715853705304</v>
      </c>
    </row>
    <row r="50" spans="1:12" x14ac:dyDescent="0.25">
      <c r="A50">
        <v>1.6</v>
      </c>
      <c r="H50">
        <f t="shared" si="2"/>
        <v>400.72149187041214</v>
      </c>
      <c r="I50">
        <f t="shared" si="4"/>
        <v>400.72149187041214</v>
      </c>
    </row>
    <row r="51" spans="1:12" x14ac:dyDescent="0.25">
      <c r="A51">
        <v>1.6333333333333331</v>
      </c>
      <c r="H51">
        <f t="shared" si="2"/>
        <v>402.61582520371303</v>
      </c>
      <c r="I51">
        <f t="shared" si="4"/>
        <v>402.61582520371303</v>
      </c>
    </row>
    <row r="52" spans="1:12" x14ac:dyDescent="0.25">
      <c r="A52">
        <v>1.666666666666667</v>
      </c>
      <c r="H52">
        <f t="shared" si="2"/>
        <v>404.51015853707213</v>
      </c>
      <c r="I52">
        <f t="shared" si="4"/>
        <v>404.51015853707213</v>
      </c>
    </row>
    <row r="53" spans="1:12" x14ac:dyDescent="0.25">
      <c r="A53">
        <v>1.7</v>
      </c>
      <c r="B53">
        <v>17.295638595502769</v>
      </c>
      <c r="C53">
        <v>-59.29474523228037</v>
      </c>
      <c r="D53">
        <f t="shared" si="1"/>
        <v>300.70525476771962</v>
      </c>
      <c r="H53">
        <f t="shared" si="2"/>
        <v>406.40449187037302</v>
      </c>
      <c r="I53">
        <f t="shared" si="4"/>
        <v>406.40449187037302</v>
      </c>
      <c r="L53">
        <f>D53-H53</f>
        <v>-105.6992371026534</v>
      </c>
    </row>
    <row r="54" spans="1:12" x14ac:dyDescent="0.25">
      <c r="A54">
        <v>1.7333333333333329</v>
      </c>
      <c r="H54">
        <f t="shared" si="2"/>
        <v>408.29882520373212</v>
      </c>
      <c r="I54">
        <f t="shared" si="4"/>
        <v>408.29882520373212</v>
      </c>
    </row>
    <row r="55" spans="1:12" x14ac:dyDescent="0.25">
      <c r="A55">
        <v>1.7666666666666671</v>
      </c>
      <c r="H55">
        <f t="shared" si="2"/>
        <v>410.19315853703301</v>
      </c>
      <c r="I55">
        <f t="shared" si="4"/>
        <v>410.19315853703301</v>
      </c>
    </row>
    <row r="56" spans="1:12" x14ac:dyDescent="0.25">
      <c r="A56">
        <v>1.8</v>
      </c>
      <c r="H56">
        <f t="shared" si="2"/>
        <v>412.08749187039211</v>
      </c>
      <c r="I56">
        <f t="shared" si="4"/>
        <v>412.08749187039211</v>
      </c>
    </row>
    <row r="57" spans="1:12" x14ac:dyDescent="0.25">
      <c r="A57">
        <v>1.833333333333333</v>
      </c>
      <c r="H57">
        <f t="shared" si="2"/>
        <v>413.98182520369301</v>
      </c>
      <c r="I57">
        <f t="shared" si="4"/>
        <v>413.98182520369301</v>
      </c>
    </row>
    <row r="58" spans="1:12" x14ac:dyDescent="0.25">
      <c r="A58">
        <v>1.8666666666666669</v>
      </c>
      <c r="H58">
        <f t="shared" si="2"/>
        <v>415.87615853705211</v>
      </c>
      <c r="I58">
        <f t="shared" si="4"/>
        <v>415.87615853705211</v>
      </c>
    </row>
    <row r="59" spans="1:12" x14ac:dyDescent="0.25">
      <c r="A59">
        <v>1.9</v>
      </c>
      <c r="H59">
        <f t="shared" si="2"/>
        <v>417.770491870353</v>
      </c>
      <c r="I59">
        <f t="shared" si="4"/>
        <v>417.770491870353</v>
      </c>
    </row>
    <row r="60" spans="1:12" x14ac:dyDescent="0.25">
      <c r="A60">
        <v>1.9333333333333329</v>
      </c>
      <c r="H60">
        <f t="shared" si="2"/>
        <v>419.6648252037121</v>
      </c>
      <c r="I60">
        <f t="shared" si="4"/>
        <v>419.6648252037121</v>
      </c>
    </row>
    <row r="61" spans="1:12" x14ac:dyDescent="0.25">
      <c r="A61">
        <v>1.966666666666667</v>
      </c>
      <c r="H61">
        <f t="shared" si="2"/>
        <v>421.5591585370712</v>
      </c>
      <c r="I61">
        <f t="shared" si="4"/>
        <v>421.5591585370712</v>
      </c>
    </row>
    <row r="62" spans="1:12" x14ac:dyDescent="0.25">
      <c r="A62">
        <v>2</v>
      </c>
      <c r="H62">
        <f t="shared" si="2"/>
        <v>423.4534918704303</v>
      </c>
      <c r="I62">
        <f t="shared" si="4"/>
        <v>423.4534918704303</v>
      </c>
    </row>
    <row r="63" spans="1:12" x14ac:dyDescent="0.25">
      <c r="A63">
        <v>2.0333333333333332</v>
      </c>
      <c r="H63">
        <f t="shared" si="2"/>
        <v>425.34782520373119</v>
      </c>
      <c r="I63">
        <f t="shared" si="4"/>
        <v>425.34782520373119</v>
      </c>
    </row>
    <row r="64" spans="1:12" x14ac:dyDescent="0.25">
      <c r="A64">
        <v>2.066666666666666</v>
      </c>
      <c r="H64">
        <f t="shared" si="2"/>
        <v>427.24215853709029</v>
      </c>
      <c r="I64">
        <f t="shared" si="4"/>
        <v>427.24215853709029</v>
      </c>
    </row>
    <row r="65" spans="1:9" x14ac:dyDescent="0.25">
      <c r="A65">
        <v>2.1</v>
      </c>
      <c r="H65">
        <f t="shared" si="2"/>
        <v>429.13649187044939</v>
      </c>
      <c r="I65">
        <f t="shared" si="4"/>
        <v>429.13649187044939</v>
      </c>
    </row>
    <row r="66" spans="1:9" x14ac:dyDescent="0.25">
      <c r="A66">
        <v>2.1333333333333329</v>
      </c>
      <c r="H66">
        <f t="shared" si="2"/>
        <v>431.03082520375028</v>
      </c>
      <c r="I66">
        <f t="shared" si="4"/>
        <v>431.03082520375028</v>
      </c>
    </row>
    <row r="67" spans="1:9" x14ac:dyDescent="0.25">
      <c r="A67">
        <v>2.166666666666667</v>
      </c>
      <c r="H67">
        <f t="shared" ref="H67:H130" si="5" xml:space="preserve"> 56.83 * (A67+$F$7) + 104.81 - $G$2</f>
        <v>432.92515853710938</v>
      </c>
      <c r="I67">
        <f t="shared" si="4"/>
        <v>432.92515853710938</v>
      </c>
    </row>
    <row r="68" spans="1:9" x14ac:dyDescent="0.25">
      <c r="A68">
        <v>2.2000000000000002</v>
      </c>
      <c r="H68">
        <f t="shared" si="5"/>
        <v>434.81949187041027</v>
      </c>
      <c r="I68">
        <f t="shared" si="4"/>
        <v>434.81949187041027</v>
      </c>
    </row>
    <row r="69" spans="1:9" x14ac:dyDescent="0.25">
      <c r="A69">
        <v>2.2333333333333329</v>
      </c>
      <c r="H69">
        <f t="shared" si="5"/>
        <v>436.71382520376937</v>
      </c>
      <c r="I69">
        <f t="shared" si="4"/>
        <v>436.71382520376937</v>
      </c>
    </row>
    <row r="70" spans="1:9" x14ac:dyDescent="0.25">
      <c r="A70">
        <v>2.2666666666666671</v>
      </c>
      <c r="H70">
        <f t="shared" si="5"/>
        <v>438.60815853707027</v>
      </c>
      <c r="I70">
        <f t="shared" si="4"/>
        <v>438.60815853707027</v>
      </c>
    </row>
    <row r="71" spans="1:9" x14ac:dyDescent="0.25">
      <c r="A71">
        <v>2.2999999999999998</v>
      </c>
      <c r="H71">
        <f t="shared" si="5"/>
        <v>440.50249187042937</v>
      </c>
      <c r="I71">
        <f t="shared" si="4"/>
        <v>440.50249187042937</v>
      </c>
    </row>
    <row r="72" spans="1:9" x14ac:dyDescent="0.25">
      <c r="A72">
        <v>2.333333333333333</v>
      </c>
      <c r="H72">
        <f t="shared" si="5"/>
        <v>442.39682520373026</v>
      </c>
      <c r="I72">
        <f t="shared" si="4"/>
        <v>442.39682520373026</v>
      </c>
    </row>
    <row r="73" spans="1:9" x14ac:dyDescent="0.25">
      <c r="A73">
        <v>2.3666666666666671</v>
      </c>
      <c r="H73">
        <f t="shared" si="5"/>
        <v>444.29115853708936</v>
      </c>
      <c r="I73">
        <f t="shared" si="4"/>
        <v>444.29115853708936</v>
      </c>
    </row>
    <row r="74" spans="1:9" x14ac:dyDescent="0.25">
      <c r="A74">
        <v>2.4</v>
      </c>
      <c r="H74">
        <f t="shared" si="5"/>
        <v>446.18549187039025</v>
      </c>
      <c r="I74">
        <f t="shared" si="4"/>
        <v>446.18549187039025</v>
      </c>
    </row>
    <row r="75" spans="1:9" x14ac:dyDescent="0.25">
      <c r="A75">
        <v>2.4333333333333331</v>
      </c>
      <c r="H75">
        <f t="shared" si="5"/>
        <v>448.07982520374935</v>
      </c>
      <c r="I75">
        <f t="shared" si="4"/>
        <v>448.07982520374935</v>
      </c>
    </row>
    <row r="76" spans="1:9" x14ac:dyDescent="0.25">
      <c r="A76">
        <v>2.4666666666666668</v>
      </c>
      <c r="H76">
        <f t="shared" si="5"/>
        <v>449.97415853705024</v>
      </c>
      <c r="I76">
        <f t="shared" si="4"/>
        <v>449.97415853705024</v>
      </c>
    </row>
    <row r="77" spans="1:9" x14ac:dyDescent="0.25">
      <c r="A77">
        <v>2.5</v>
      </c>
      <c r="H77">
        <f t="shared" si="5"/>
        <v>451.86849187040934</v>
      </c>
      <c r="I77">
        <f t="shared" si="4"/>
        <v>451.86849187040934</v>
      </c>
    </row>
    <row r="78" spans="1:9" x14ac:dyDescent="0.25">
      <c r="A78">
        <v>2.5333333333333332</v>
      </c>
      <c r="H78">
        <f t="shared" si="5"/>
        <v>453.76282520376844</v>
      </c>
      <c r="I78">
        <f t="shared" si="4"/>
        <v>453.76282520376844</v>
      </c>
    </row>
    <row r="79" spans="1:9" x14ac:dyDescent="0.25">
      <c r="A79">
        <v>2.566666666666666</v>
      </c>
      <c r="H79">
        <f t="shared" si="5"/>
        <v>455.65715853706934</v>
      </c>
      <c r="I79">
        <f t="shared" si="4"/>
        <v>455.65715853706934</v>
      </c>
    </row>
    <row r="80" spans="1:9" x14ac:dyDescent="0.25">
      <c r="A80">
        <v>2.6</v>
      </c>
      <c r="H80">
        <f t="shared" si="5"/>
        <v>457.55149187042844</v>
      </c>
      <c r="I80">
        <f t="shared" si="4"/>
        <v>457.55149187042844</v>
      </c>
    </row>
    <row r="81" spans="1:12" x14ac:dyDescent="0.25">
      <c r="A81">
        <v>2.6333333333333329</v>
      </c>
      <c r="H81">
        <f t="shared" si="5"/>
        <v>459.44582520372933</v>
      </c>
      <c r="I81">
        <f t="shared" si="4"/>
        <v>459.44582520372933</v>
      </c>
    </row>
    <row r="82" spans="1:12" x14ac:dyDescent="0.25">
      <c r="A82">
        <v>2.666666666666667</v>
      </c>
      <c r="H82">
        <f t="shared" si="5"/>
        <v>461.34015853708843</v>
      </c>
      <c r="I82">
        <f t="shared" si="4"/>
        <v>461.34015853708843</v>
      </c>
    </row>
    <row r="83" spans="1:12" x14ac:dyDescent="0.25">
      <c r="A83">
        <v>2.7</v>
      </c>
      <c r="H83">
        <f t="shared" si="5"/>
        <v>463.23449187038932</v>
      </c>
      <c r="I83">
        <f t="shared" ref="I83:I138" si="6">MOD(H83, 360)+360</f>
        <v>463.23449187038932</v>
      </c>
    </row>
    <row r="84" spans="1:12" x14ac:dyDescent="0.25">
      <c r="A84">
        <v>2.7333333333333329</v>
      </c>
      <c r="H84">
        <f t="shared" si="5"/>
        <v>465.12882520374842</v>
      </c>
      <c r="I84">
        <f t="shared" si="6"/>
        <v>465.12882520374842</v>
      </c>
    </row>
    <row r="85" spans="1:12" x14ac:dyDescent="0.25">
      <c r="A85">
        <v>2.7666666666666671</v>
      </c>
      <c r="B85">
        <v>42.533397060250699</v>
      </c>
      <c r="C85">
        <v>-23.81124839351433</v>
      </c>
      <c r="D85">
        <f t="shared" ref="D85:D96" si="7">IF(C85&gt;=0,C85,C85+360)</f>
        <v>336.18875160648565</v>
      </c>
      <c r="H85">
        <f t="shared" si="5"/>
        <v>467.02315853704931</v>
      </c>
      <c r="I85">
        <f t="shared" si="6"/>
        <v>467.02315853704931</v>
      </c>
      <c r="L85">
        <f t="shared" ref="L85:L102" si="8">D85-H85</f>
        <v>-130.83440693056366</v>
      </c>
    </row>
    <row r="86" spans="1:12" x14ac:dyDescent="0.25">
      <c r="A86">
        <v>2.8</v>
      </c>
      <c r="B86">
        <v>42.395842263124671</v>
      </c>
      <c r="C86">
        <v>-21.424868251800049</v>
      </c>
      <c r="D86">
        <f t="shared" si="7"/>
        <v>338.57513174819996</v>
      </c>
      <c r="H86">
        <f t="shared" si="5"/>
        <v>468.91749187040841</v>
      </c>
      <c r="I86">
        <f t="shared" si="6"/>
        <v>468.91749187040841</v>
      </c>
      <c r="L86">
        <f t="shared" si="8"/>
        <v>-130.34236012220845</v>
      </c>
    </row>
    <row r="87" spans="1:12" x14ac:dyDescent="0.25">
      <c r="A87">
        <v>2.833333333333333</v>
      </c>
      <c r="B87">
        <v>42.199727900315771</v>
      </c>
      <c r="C87">
        <v>-19.54647708858926</v>
      </c>
      <c r="D87">
        <f t="shared" si="7"/>
        <v>340.45352291141074</v>
      </c>
      <c r="H87">
        <f t="shared" si="5"/>
        <v>470.8118252037093</v>
      </c>
      <c r="I87">
        <f t="shared" si="6"/>
        <v>470.8118252037093</v>
      </c>
      <c r="L87">
        <f t="shared" si="8"/>
        <v>-130.35830229229856</v>
      </c>
    </row>
    <row r="88" spans="1:12" x14ac:dyDescent="0.25">
      <c r="A88">
        <v>2.8666666666666671</v>
      </c>
      <c r="B88">
        <v>42.046606688312011</v>
      </c>
      <c r="C88">
        <v>-17.375650821686651</v>
      </c>
      <c r="D88">
        <f t="shared" si="7"/>
        <v>342.62434917831337</v>
      </c>
      <c r="H88">
        <f t="shared" si="5"/>
        <v>472.7061585370684</v>
      </c>
      <c r="I88">
        <f t="shared" si="6"/>
        <v>472.7061585370684</v>
      </c>
      <c r="L88">
        <f t="shared" si="8"/>
        <v>-130.08180935875504</v>
      </c>
    </row>
    <row r="89" spans="1:12" x14ac:dyDescent="0.25">
      <c r="A89">
        <v>2.9</v>
      </c>
      <c r="B89">
        <v>41.901314009452037</v>
      </c>
      <c r="C89">
        <v>-15.36174175494175</v>
      </c>
      <c r="D89">
        <f t="shared" si="7"/>
        <v>344.63825824505824</v>
      </c>
      <c r="H89">
        <f t="shared" si="5"/>
        <v>474.6004918703693</v>
      </c>
      <c r="I89">
        <f t="shared" si="6"/>
        <v>474.6004918703693</v>
      </c>
      <c r="L89">
        <f t="shared" si="8"/>
        <v>-129.96223362531106</v>
      </c>
    </row>
    <row r="90" spans="1:12" x14ac:dyDescent="0.25">
      <c r="A90">
        <v>2.9333333333333331</v>
      </c>
      <c r="B90">
        <v>41.782048717056668</v>
      </c>
      <c r="C90">
        <v>-13.11041924963453</v>
      </c>
      <c r="D90">
        <f t="shared" si="7"/>
        <v>346.8895807503655</v>
      </c>
      <c r="H90">
        <f t="shared" si="5"/>
        <v>476.4948252037284</v>
      </c>
      <c r="I90">
        <f t="shared" si="6"/>
        <v>476.4948252037284</v>
      </c>
      <c r="L90">
        <f t="shared" si="8"/>
        <v>-129.6052444533629</v>
      </c>
    </row>
    <row r="91" spans="1:12" x14ac:dyDescent="0.25">
      <c r="A91">
        <v>2.9666666666666668</v>
      </c>
      <c r="B91">
        <v>41.488551981137007</v>
      </c>
      <c r="C91">
        <v>-11.20570906698495</v>
      </c>
      <c r="D91">
        <f t="shared" si="7"/>
        <v>348.79429093301508</v>
      </c>
      <c r="H91">
        <f t="shared" si="5"/>
        <v>478.38915853702929</v>
      </c>
      <c r="I91">
        <f t="shared" si="6"/>
        <v>478.38915853702929</v>
      </c>
      <c r="L91">
        <f t="shared" si="8"/>
        <v>-129.59486760401421</v>
      </c>
    </row>
    <row r="92" spans="1:12" x14ac:dyDescent="0.25">
      <c r="A92">
        <v>3</v>
      </c>
      <c r="B92">
        <v>41.263851697853603</v>
      </c>
      <c r="C92">
        <v>-9.1578915345275984</v>
      </c>
      <c r="D92">
        <f t="shared" si="7"/>
        <v>350.84210846547239</v>
      </c>
      <c r="H92">
        <f t="shared" si="5"/>
        <v>480.28349187038839</v>
      </c>
      <c r="I92">
        <f t="shared" si="6"/>
        <v>480.28349187038839</v>
      </c>
      <c r="L92">
        <f t="shared" si="8"/>
        <v>-129.441383404916</v>
      </c>
    </row>
    <row r="93" spans="1:12" x14ac:dyDescent="0.25">
      <c r="A93">
        <v>3.0333333333333332</v>
      </c>
      <c r="B93">
        <v>41.136010618151879</v>
      </c>
      <c r="C93">
        <v>-7.1669058536494124</v>
      </c>
      <c r="D93">
        <f t="shared" si="7"/>
        <v>352.83309414635056</v>
      </c>
      <c r="H93">
        <f t="shared" si="5"/>
        <v>482.17782520374749</v>
      </c>
      <c r="I93">
        <f t="shared" si="6"/>
        <v>482.17782520374749</v>
      </c>
      <c r="L93">
        <f t="shared" si="8"/>
        <v>-129.34473105739693</v>
      </c>
    </row>
    <row r="94" spans="1:12" x14ac:dyDescent="0.25">
      <c r="A94">
        <v>3.066666666666666</v>
      </c>
      <c r="B94">
        <v>40.793475602562218</v>
      </c>
      <c r="C94">
        <v>-5.4004702384448811</v>
      </c>
      <c r="D94">
        <f t="shared" si="7"/>
        <v>354.59952976155512</v>
      </c>
      <c r="H94">
        <f t="shared" si="5"/>
        <v>484.07215853704838</v>
      </c>
      <c r="I94">
        <f t="shared" si="6"/>
        <v>484.07215853704838</v>
      </c>
      <c r="L94">
        <f t="shared" si="8"/>
        <v>-129.47262877549326</v>
      </c>
    </row>
    <row r="95" spans="1:12" x14ac:dyDescent="0.25">
      <c r="A95">
        <v>3.1</v>
      </c>
      <c r="B95">
        <v>40.683701338475743</v>
      </c>
      <c r="C95">
        <v>-3.4444258965729531</v>
      </c>
      <c r="D95">
        <f t="shared" si="7"/>
        <v>356.55557410342703</v>
      </c>
      <c r="H95">
        <f t="shared" si="5"/>
        <v>485.96649187040748</v>
      </c>
      <c r="I95">
        <f t="shared" si="6"/>
        <v>485.96649187040748</v>
      </c>
      <c r="L95">
        <f t="shared" si="8"/>
        <v>-129.41091776698045</v>
      </c>
    </row>
    <row r="96" spans="1:12" x14ac:dyDescent="0.25">
      <c r="A96">
        <v>3.1333333333333329</v>
      </c>
      <c r="B96">
        <v>40.383314531812488</v>
      </c>
      <c r="C96">
        <v>-1.005961535570824</v>
      </c>
      <c r="D96">
        <f t="shared" si="7"/>
        <v>358.9940384644292</v>
      </c>
      <c r="H96">
        <f t="shared" si="5"/>
        <v>487.86082520370837</v>
      </c>
      <c r="I96">
        <f t="shared" si="6"/>
        <v>487.86082520370837</v>
      </c>
      <c r="L96">
        <f t="shared" si="8"/>
        <v>-128.86678673927918</v>
      </c>
    </row>
    <row r="97" spans="1:12" x14ac:dyDescent="0.25">
      <c r="A97">
        <v>3.166666666666667</v>
      </c>
      <c r="B97">
        <v>40.051062875766327</v>
      </c>
      <c r="C97">
        <v>1.021368430092521</v>
      </c>
      <c r="D97">
        <f>IF(C97&gt;=0,C97,C97+360) + 360</f>
        <v>361.02136843009254</v>
      </c>
      <c r="H97">
        <f t="shared" si="5"/>
        <v>489.75515853706747</v>
      </c>
      <c r="I97">
        <f t="shared" si="6"/>
        <v>489.75515853706747</v>
      </c>
      <c r="L97">
        <f t="shared" si="8"/>
        <v>-128.73379010697494</v>
      </c>
    </row>
    <row r="98" spans="1:12" x14ac:dyDescent="0.25">
      <c r="A98">
        <v>3.2</v>
      </c>
      <c r="B98">
        <v>39.764110519807502</v>
      </c>
      <c r="C98">
        <v>2.86092621067777</v>
      </c>
      <c r="D98">
        <f t="shared" ref="D98:D143" si="9">IF(C98&gt;=0,C98,C98+360) + 360</f>
        <v>362.86092621067775</v>
      </c>
      <c r="H98">
        <f t="shared" si="5"/>
        <v>491.64949187036837</v>
      </c>
      <c r="I98">
        <f t="shared" si="6"/>
        <v>491.64949187036837</v>
      </c>
      <c r="L98">
        <f t="shared" si="8"/>
        <v>-128.78856565969062</v>
      </c>
    </row>
    <row r="99" spans="1:12" x14ac:dyDescent="0.25">
      <c r="A99">
        <v>3.2333333333333329</v>
      </c>
      <c r="B99">
        <v>39.62298626642341</v>
      </c>
      <c r="C99">
        <v>4.8512886571510494</v>
      </c>
      <c r="D99">
        <f t="shared" si="9"/>
        <v>364.85128865715103</v>
      </c>
      <c r="H99">
        <f t="shared" si="5"/>
        <v>493.54382520372747</v>
      </c>
      <c r="I99">
        <f t="shared" si="6"/>
        <v>493.54382520372747</v>
      </c>
      <c r="L99">
        <f t="shared" si="8"/>
        <v>-128.69253654657643</v>
      </c>
    </row>
    <row r="100" spans="1:12" x14ac:dyDescent="0.25">
      <c r="A100">
        <v>3.2666666666666671</v>
      </c>
      <c r="B100">
        <v>39.304525520494728</v>
      </c>
      <c r="C100">
        <v>6.8545797725536826</v>
      </c>
      <c r="D100">
        <f t="shared" si="9"/>
        <v>366.85457977255368</v>
      </c>
      <c r="H100">
        <f t="shared" si="5"/>
        <v>495.43815853702836</v>
      </c>
      <c r="I100">
        <f t="shared" si="6"/>
        <v>495.43815853702836</v>
      </c>
      <c r="L100">
        <f t="shared" si="8"/>
        <v>-128.58357876447468</v>
      </c>
    </row>
    <row r="101" spans="1:12" x14ac:dyDescent="0.25">
      <c r="A101">
        <v>3.3</v>
      </c>
      <c r="B101">
        <v>38.958511947735701</v>
      </c>
      <c r="C101">
        <v>8.6822466246882097</v>
      </c>
      <c r="D101">
        <f t="shared" si="9"/>
        <v>368.68224662468822</v>
      </c>
      <c r="H101">
        <f t="shared" si="5"/>
        <v>497.33249187038746</v>
      </c>
      <c r="I101">
        <f t="shared" si="6"/>
        <v>497.33249187038746</v>
      </c>
      <c r="L101">
        <f t="shared" si="8"/>
        <v>-128.65024524569924</v>
      </c>
    </row>
    <row r="102" spans="1:12" x14ac:dyDescent="0.25">
      <c r="A102">
        <v>3.333333333333333</v>
      </c>
      <c r="B102">
        <v>38.675733478728091</v>
      </c>
      <c r="C102">
        <v>10.748817087159649</v>
      </c>
      <c r="D102">
        <f t="shared" si="9"/>
        <v>370.74881708715964</v>
      </c>
      <c r="H102">
        <f t="shared" si="5"/>
        <v>499.22682520374656</v>
      </c>
      <c r="I102">
        <f t="shared" si="6"/>
        <v>499.22682520374656</v>
      </c>
      <c r="L102">
        <f t="shared" si="8"/>
        <v>-128.47800811658692</v>
      </c>
    </row>
    <row r="103" spans="1:12" x14ac:dyDescent="0.25">
      <c r="A103">
        <v>3.3666666666666671</v>
      </c>
      <c r="H103">
        <f t="shared" si="5"/>
        <v>501.12115853704745</v>
      </c>
      <c r="I103">
        <f t="shared" si="6"/>
        <v>501.12115853704745</v>
      </c>
    </row>
    <row r="104" spans="1:12" x14ac:dyDescent="0.25">
      <c r="A104">
        <v>3.4</v>
      </c>
      <c r="B104">
        <v>38.053795007243437</v>
      </c>
      <c r="C104">
        <v>14.619596883720369</v>
      </c>
      <c r="D104">
        <f t="shared" si="9"/>
        <v>374.61959688372036</v>
      </c>
      <c r="H104">
        <f t="shared" si="5"/>
        <v>503.01549187040655</v>
      </c>
      <c r="I104">
        <f t="shared" si="6"/>
        <v>503.01549187040655</v>
      </c>
      <c r="L104">
        <f t="shared" ref="L104:L124" si="10">D104-H104</f>
        <v>-128.39589498668619</v>
      </c>
    </row>
    <row r="105" spans="1:12" x14ac:dyDescent="0.25">
      <c r="A105">
        <v>3.4333333333333331</v>
      </c>
      <c r="B105">
        <v>37.707798238450941</v>
      </c>
      <c r="C105">
        <v>16.542997514005268</v>
      </c>
      <c r="D105">
        <f t="shared" si="9"/>
        <v>376.54299751400526</v>
      </c>
      <c r="H105">
        <f t="shared" si="5"/>
        <v>504.90982520376565</v>
      </c>
      <c r="I105">
        <f t="shared" si="6"/>
        <v>504.90982520376565</v>
      </c>
      <c r="L105">
        <f t="shared" si="10"/>
        <v>-128.36682768976038</v>
      </c>
    </row>
    <row r="106" spans="1:12" x14ac:dyDescent="0.25">
      <c r="A106">
        <v>3.4666666666666668</v>
      </c>
      <c r="B106">
        <v>37.316304681288052</v>
      </c>
      <c r="C106">
        <v>18.367634054276159</v>
      </c>
      <c r="D106">
        <f t="shared" si="9"/>
        <v>378.36763405427615</v>
      </c>
      <c r="H106">
        <f t="shared" si="5"/>
        <v>506.80415853706654</v>
      </c>
      <c r="I106">
        <f t="shared" si="6"/>
        <v>506.80415853706654</v>
      </c>
      <c r="L106">
        <f t="shared" si="10"/>
        <v>-128.43652448279039</v>
      </c>
    </row>
    <row r="107" spans="1:12" x14ac:dyDescent="0.25">
      <c r="A107">
        <v>3.5</v>
      </c>
      <c r="B107">
        <v>36.94681945573894</v>
      </c>
      <c r="C107">
        <v>20.37553182863439</v>
      </c>
      <c r="D107">
        <f t="shared" si="9"/>
        <v>380.37553182863439</v>
      </c>
      <c r="H107">
        <f t="shared" si="5"/>
        <v>508.69849187042564</v>
      </c>
      <c r="I107">
        <f t="shared" si="6"/>
        <v>508.69849187042564</v>
      </c>
      <c r="L107">
        <f t="shared" si="10"/>
        <v>-128.32296004179125</v>
      </c>
    </row>
    <row r="108" spans="1:12" x14ac:dyDescent="0.25">
      <c r="A108">
        <v>3.5333333333333332</v>
      </c>
      <c r="B108">
        <v>36.576984352964189</v>
      </c>
      <c r="C108">
        <v>22.288885376354148</v>
      </c>
      <c r="D108">
        <f t="shared" si="9"/>
        <v>382.28888537635413</v>
      </c>
      <c r="H108">
        <f t="shared" si="5"/>
        <v>510.59282520378474</v>
      </c>
      <c r="I108">
        <f t="shared" si="6"/>
        <v>510.59282520378474</v>
      </c>
      <c r="L108">
        <f t="shared" si="10"/>
        <v>-128.30393982743061</v>
      </c>
    </row>
    <row r="109" spans="1:12" x14ac:dyDescent="0.25">
      <c r="A109">
        <v>3.566666666666666</v>
      </c>
      <c r="B109">
        <v>36.332631498113223</v>
      </c>
      <c r="C109">
        <v>24.213421210472699</v>
      </c>
      <c r="D109">
        <f t="shared" si="9"/>
        <v>384.21342121047269</v>
      </c>
      <c r="H109">
        <f t="shared" si="5"/>
        <v>512.48715853708563</v>
      </c>
      <c r="I109">
        <f t="shared" si="6"/>
        <v>512.48715853708563</v>
      </c>
      <c r="L109">
        <f t="shared" si="10"/>
        <v>-128.27373732661295</v>
      </c>
    </row>
    <row r="110" spans="1:12" x14ac:dyDescent="0.25">
      <c r="A110">
        <v>3.6</v>
      </c>
      <c r="B110">
        <v>36.054756585221213</v>
      </c>
      <c r="C110">
        <v>26.08393344894014</v>
      </c>
      <c r="D110">
        <f t="shared" si="9"/>
        <v>386.08393344894012</v>
      </c>
      <c r="H110">
        <f t="shared" si="5"/>
        <v>514.38149187044473</v>
      </c>
      <c r="I110">
        <f t="shared" si="6"/>
        <v>514.38149187044473</v>
      </c>
      <c r="L110">
        <f t="shared" si="10"/>
        <v>-128.29755842150462</v>
      </c>
    </row>
    <row r="111" spans="1:12" x14ac:dyDescent="0.25">
      <c r="A111">
        <v>3.6333333333333329</v>
      </c>
      <c r="B111">
        <v>35.682904689766417</v>
      </c>
      <c r="C111">
        <v>27.980162623495179</v>
      </c>
      <c r="D111">
        <f t="shared" si="9"/>
        <v>387.98016262349518</v>
      </c>
      <c r="H111">
        <f t="shared" si="5"/>
        <v>516.27582520374563</v>
      </c>
      <c r="I111">
        <f t="shared" si="6"/>
        <v>516.27582520374563</v>
      </c>
      <c r="L111">
        <f t="shared" si="10"/>
        <v>-128.29566258025045</v>
      </c>
    </row>
    <row r="112" spans="1:12" x14ac:dyDescent="0.25">
      <c r="A112">
        <v>3.666666666666667</v>
      </c>
      <c r="B112">
        <v>35.270863255122542</v>
      </c>
      <c r="C112">
        <v>29.841773919912502</v>
      </c>
      <c r="D112">
        <f t="shared" si="9"/>
        <v>389.8417739199125</v>
      </c>
      <c r="H112">
        <f t="shared" si="5"/>
        <v>518.17015853710473</v>
      </c>
      <c r="I112">
        <f t="shared" si="6"/>
        <v>518.17015853710473</v>
      </c>
      <c r="L112">
        <f t="shared" si="10"/>
        <v>-128.32838461719223</v>
      </c>
    </row>
    <row r="113" spans="1:12" x14ac:dyDescent="0.25">
      <c r="A113">
        <v>3.7</v>
      </c>
      <c r="B113">
        <v>34.911779428832489</v>
      </c>
      <c r="C113">
        <v>31.7529606492966</v>
      </c>
      <c r="D113">
        <f t="shared" si="9"/>
        <v>391.7529606492966</v>
      </c>
      <c r="H113">
        <f t="shared" si="5"/>
        <v>520.06449187040562</v>
      </c>
      <c r="I113">
        <f t="shared" si="6"/>
        <v>520.06449187040562</v>
      </c>
      <c r="L113">
        <f t="shared" si="10"/>
        <v>-128.31153122110902</v>
      </c>
    </row>
    <row r="114" spans="1:12" x14ac:dyDescent="0.25">
      <c r="A114">
        <v>3.7333333333333329</v>
      </c>
      <c r="B114">
        <v>34.519657358618083</v>
      </c>
      <c r="C114">
        <v>33.693480276788037</v>
      </c>
      <c r="D114">
        <f t="shared" si="9"/>
        <v>393.69348027678802</v>
      </c>
      <c r="H114">
        <f t="shared" si="5"/>
        <v>521.95882520376472</v>
      </c>
      <c r="I114">
        <f t="shared" si="6"/>
        <v>521.95882520376472</v>
      </c>
      <c r="L114">
        <f t="shared" si="10"/>
        <v>-128.2653449269767</v>
      </c>
    </row>
    <row r="115" spans="1:12" x14ac:dyDescent="0.25">
      <c r="A115">
        <v>3.7666666666666671</v>
      </c>
      <c r="B115">
        <v>34.208649559186092</v>
      </c>
      <c r="C115">
        <v>35.627318547279827</v>
      </c>
      <c r="D115">
        <f t="shared" si="9"/>
        <v>395.62731854727986</v>
      </c>
      <c r="H115">
        <f t="shared" si="5"/>
        <v>523.85315853706561</v>
      </c>
      <c r="I115">
        <f t="shared" si="6"/>
        <v>523.85315853706561</v>
      </c>
      <c r="L115">
        <f t="shared" si="10"/>
        <v>-128.22583998978575</v>
      </c>
    </row>
    <row r="116" spans="1:12" x14ac:dyDescent="0.25">
      <c r="A116">
        <v>3.8</v>
      </c>
      <c r="B116">
        <v>33.822191263519223</v>
      </c>
      <c r="C116">
        <v>37.490660447086789</v>
      </c>
      <c r="D116">
        <f t="shared" si="9"/>
        <v>397.49066044708678</v>
      </c>
      <c r="H116">
        <f t="shared" si="5"/>
        <v>525.74749187042471</v>
      </c>
      <c r="I116">
        <f t="shared" si="6"/>
        <v>525.74749187042471</v>
      </c>
      <c r="L116">
        <f t="shared" si="10"/>
        <v>-128.25683142333793</v>
      </c>
    </row>
    <row r="117" spans="1:12" x14ac:dyDescent="0.25">
      <c r="A117">
        <v>3.833333333333333</v>
      </c>
      <c r="B117">
        <v>33.443332056678791</v>
      </c>
      <c r="C117">
        <v>39.340169639999971</v>
      </c>
      <c r="D117">
        <f t="shared" si="9"/>
        <v>399.34016964</v>
      </c>
      <c r="H117">
        <f t="shared" si="5"/>
        <v>527.6418252037256</v>
      </c>
      <c r="I117">
        <f t="shared" si="6"/>
        <v>527.6418252037256</v>
      </c>
      <c r="L117">
        <f t="shared" si="10"/>
        <v>-128.3016555637256</v>
      </c>
    </row>
    <row r="118" spans="1:12" x14ac:dyDescent="0.25">
      <c r="A118">
        <v>3.8666666666666671</v>
      </c>
      <c r="B118">
        <v>33.060156183158128</v>
      </c>
      <c r="C118">
        <v>41.245392979169132</v>
      </c>
      <c r="D118">
        <f t="shared" si="9"/>
        <v>401.24539297916914</v>
      </c>
      <c r="H118">
        <f t="shared" si="5"/>
        <v>529.5361585370847</v>
      </c>
      <c r="I118">
        <f t="shared" si="6"/>
        <v>529.5361585370847</v>
      </c>
      <c r="L118">
        <f t="shared" si="10"/>
        <v>-128.29076555791556</v>
      </c>
    </row>
    <row r="119" spans="1:12" x14ac:dyDescent="0.25">
      <c r="A119">
        <v>3.9</v>
      </c>
      <c r="B119">
        <v>32.800895928370913</v>
      </c>
      <c r="C119">
        <v>43.159835129024202</v>
      </c>
      <c r="D119">
        <f t="shared" si="9"/>
        <v>403.1598351290242</v>
      </c>
      <c r="H119">
        <f t="shared" si="5"/>
        <v>531.43049187038559</v>
      </c>
      <c r="I119">
        <f t="shared" si="6"/>
        <v>531.43049187038559</v>
      </c>
      <c r="L119">
        <f t="shared" si="10"/>
        <v>-128.27065674136139</v>
      </c>
    </row>
    <row r="120" spans="1:12" x14ac:dyDescent="0.25">
      <c r="A120">
        <v>3.9333333333333331</v>
      </c>
      <c r="B120">
        <v>32.150337504930697</v>
      </c>
      <c r="C120">
        <v>45.038123973081973</v>
      </c>
      <c r="D120">
        <f t="shared" si="9"/>
        <v>405.03812397308195</v>
      </c>
      <c r="H120">
        <f t="shared" si="5"/>
        <v>533.32482520374469</v>
      </c>
      <c r="I120">
        <f t="shared" si="6"/>
        <v>533.32482520374469</v>
      </c>
      <c r="L120">
        <f t="shared" si="10"/>
        <v>-128.28670123066274</v>
      </c>
    </row>
    <row r="121" spans="1:12" x14ac:dyDescent="0.25">
      <c r="A121">
        <v>3.9666666666666668</v>
      </c>
      <c r="B121">
        <v>31.87638057453437</v>
      </c>
      <c r="C121">
        <v>46.876233273074568</v>
      </c>
      <c r="D121">
        <f t="shared" si="9"/>
        <v>406.87623327307455</v>
      </c>
      <c r="H121">
        <f t="shared" si="5"/>
        <v>535.21915853704559</v>
      </c>
      <c r="I121">
        <f t="shared" si="6"/>
        <v>535.21915853704559</v>
      </c>
      <c r="L121">
        <f t="shared" si="10"/>
        <v>-128.34292526397104</v>
      </c>
    </row>
    <row r="122" spans="1:12" x14ac:dyDescent="0.25">
      <c r="A122">
        <v>4</v>
      </c>
      <c r="B122">
        <v>31.566196844474909</v>
      </c>
      <c r="C122">
        <v>48.758459832923563</v>
      </c>
      <c r="D122">
        <f t="shared" si="9"/>
        <v>408.75845983292356</v>
      </c>
      <c r="H122">
        <f t="shared" si="5"/>
        <v>537.11349187040469</v>
      </c>
      <c r="I122">
        <f t="shared" si="6"/>
        <v>537.11349187040469</v>
      </c>
      <c r="L122">
        <f t="shared" si="10"/>
        <v>-128.35503203748112</v>
      </c>
    </row>
    <row r="123" spans="1:12" x14ac:dyDescent="0.25">
      <c r="A123">
        <v>4.0333333333333332</v>
      </c>
      <c r="B123">
        <v>31.112141629614349</v>
      </c>
      <c r="C123">
        <v>50.681520232265633</v>
      </c>
      <c r="D123">
        <f t="shared" si="9"/>
        <v>410.68152023226565</v>
      </c>
      <c r="H123">
        <f t="shared" si="5"/>
        <v>539.00782520376379</v>
      </c>
      <c r="I123">
        <f t="shared" si="6"/>
        <v>539.00782520376379</v>
      </c>
      <c r="L123">
        <f t="shared" si="10"/>
        <v>-128.32630497149813</v>
      </c>
    </row>
    <row r="124" spans="1:12" x14ac:dyDescent="0.25">
      <c r="A124">
        <v>4.0666666666666664</v>
      </c>
      <c r="B124">
        <v>30.227349249223408</v>
      </c>
      <c r="C124">
        <v>61.82052349732357</v>
      </c>
      <c r="D124">
        <f t="shared" si="9"/>
        <v>421.82052349732356</v>
      </c>
      <c r="H124">
        <f t="shared" si="5"/>
        <v>540.90215853706468</v>
      </c>
      <c r="I124">
        <f t="shared" si="6"/>
        <v>540.90215853706468</v>
      </c>
      <c r="L124">
        <f t="shared" si="10"/>
        <v>-119.08163503974112</v>
      </c>
    </row>
    <row r="125" spans="1:12" x14ac:dyDescent="0.25">
      <c r="A125">
        <v>4.0999999999999996</v>
      </c>
      <c r="H125">
        <f t="shared" si="5"/>
        <v>542.79649187042378</v>
      </c>
      <c r="I125">
        <f t="shared" si="6"/>
        <v>542.79649187042378</v>
      </c>
    </row>
    <row r="126" spans="1:12" x14ac:dyDescent="0.25">
      <c r="A126">
        <v>4.1333333333333329</v>
      </c>
      <c r="B126">
        <v>29.4125583623917</v>
      </c>
      <c r="C126">
        <v>57.015579595787742</v>
      </c>
      <c r="D126">
        <f t="shared" si="9"/>
        <v>417.01557959578776</v>
      </c>
      <c r="H126">
        <f t="shared" si="5"/>
        <v>544.69082520372467</v>
      </c>
      <c r="I126">
        <f t="shared" si="6"/>
        <v>544.69082520372467</v>
      </c>
      <c r="L126">
        <f>D126-H126</f>
        <v>-127.67524560793692</v>
      </c>
    </row>
    <row r="127" spans="1:12" x14ac:dyDescent="0.25">
      <c r="A127">
        <v>4.166666666666667</v>
      </c>
      <c r="B127">
        <v>29.06085740475249</v>
      </c>
      <c r="C127">
        <v>57.26371766858346</v>
      </c>
      <c r="D127">
        <f t="shared" si="9"/>
        <v>417.26371766858347</v>
      </c>
      <c r="H127">
        <f t="shared" si="5"/>
        <v>546.58515853708377</v>
      </c>
      <c r="I127">
        <f t="shared" si="6"/>
        <v>546.58515853708377</v>
      </c>
      <c r="L127">
        <f>D127-H127</f>
        <v>-129.3214408685003</v>
      </c>
    </row>
    <row r="128" spans="1:12" x14ac:dyDescent="0.25">
      <c r="A128">
        <v>4.2</v>
      </c>
      <c r="B128">
        <v>28.721722208455489</v>
      </c>
      <c r="C128">
        <v>59.888928319763878</v>
      </c>
      <c r="D128">
        <f t="shared" si="9"/>
        <v>419.88892831976386</v>
      </c>
      <c r="H128">
        <f t="shared" si="5"/>
        <v>548.47949187038466</v>
      </c>
      <c r="I128">
        <f t="shared" si="6"/>
        <v>548.47949187038466</v>
      </c>
      <c r="L128">
        <f>D128-H128</f>
        <v>-128.5905635506208</v>
      </c>
    </row>
    <row r="129" spans="1:12" x14ac:dyDescent="0.25">
      <c r="A129">
        <v>4.2333333333333334</v>
      </c>
      <c r="B129">
        <v>28.229513778229968</v>
      </c>
      <c r="C129">
        <v>61.729615888797248</v>
      </c>
      <c r="D129">
        <f t="shared" si="9"/>
        <v>421.72961588879724</v>
      </c>
      <c r="H129">
        <f t="shared" si="5"/>
        <v>550.37382520374376</v>
      </c>
      <c r="I129">
        <f t="shared" si="6"/>
        <v>550.37382520374376</v>
      </c>
      <c r="L129">
        <f>D129-H129</f>
        <v>-128.64420931494652</v>
      </c>
    </row>
    <row r="130" spans="1:12" x14ac:dyDescent="0.25">
      <c r="A130">
        <v>4.2666666666666666</v>
      </c>
      <c r="B130">
        <v>27.846251029526311</v>
      </c>
      <c r="C130">
        <v>63.58472916175652</v>
      </c>
      <c r="D130">
        <f t="shared" si="9"/>
        <v>423.58472916175651</v>
      </c>
      <c r="H130">
        <f t="shared" si="5"/>
        <v>552.26815853704466</v>
      </c>
      <c r="I130">
        <f t="shared" si="6"/>
        <v>552.26815853704466</v>
      </c>
      <c r="L130">
        <f>D130-H130</f>
        <v>-128.68342937528814</v>
      </c>
    </row>
    <row r="131" spans="1:12" x14ac:dyDescent="0.25">
      <c r="A131">
        <v>4.3</v>
      </c>
      <c r="B131">
        <v>27.466411476857228</v>
      </c>
      <c r="C131">
        <v>65.40873416345984</v>
      </c>
      <c r="D131">
        <f t="shared" si="9"/>
        <v>425.40873416345983</v>
      </c>
      <c r="H131">
        <f t="shared" ref="H131:H143" si="11" xml:space="preserve"> 56.83 * (A131+$F$7) + 104.81 - $G$2</f>
        <v>554.16249187040376</v>
      </c>
      <c r="I131">
        <f t="shared" si="6"/>
        <v>554.16249187040376</v>
      </c>
      <c r="L131">
        <f t="shared" ref="L131:L143" si="12">D131-H131</f>
        <v>-128.75375770694393</v>
      </c>
    </row>
    <row r="132" spans="1:12" x14ac:dyDescent="0.25">
      <c r="A132">
        <v>4.333333333333333</v>
      </c>
      <c r="B132">
        <v>27.039311396539151</v>
      </c>
      <c r="C132">
        <v>67.272449653160365</v>
      </c>
      <c r="D132">
        <f t="shared" si="9"/>
        <v>427.27244965316038</v>
      </c>
      <c r="H132">
        <f t="shared" si="11"/>
        <v>556.05682520370465</v>
      </c>
      <c r="I132">
        <f t="shared" si="6"/>
        <v>556.05682520370465</v>
      </c>
      <c r="L132">
        <f t="shared" si="12"/>
        <v>-128.78437555054427</v>
      </c>
    </row>
    <row r="133" spans="1:12" x14ac:dyDescent="0.25">
      <c r="A133">
        <v>4.3666666666666663</v>
      </c>
      <c r="B133">
        <v>26.565903970212329</v>
      </c>
      <c r="C133">
        <v>69.099670481971373</v>
      </c>
      <c r="D133">
        <f t="shared" si="9"/>
        <v>429.09967048197137</v>
      </c>
      <c r="H133">
        <f t="shared" si="11"/>
        <v>557.95115853706375</v>
      </c>
      <c r="I133">
        <f t="shared" si="6"/>
        <v>557.95115853706375</v>
      </c>
      <c r="L133">
        <f t="shared" si="12"/>
        <v>-128.85148805509237</v>
      </c>
    </row>
    <row r="134" spans="1:12" x14ac:dyDescent="0.25">
      <c r="A134">
        <v>4.4000000000000004</v>
      </c>
      <c r="B134">
        <v>26.243589810460129</v>
      </c>
      <c r="C134">
        <v>70.92902993756627</v>
      </c>
      <c r="D134">
        <f t="shared" si="9"/>
        <v>430.92902993756627</v>
      </c>
      <c r="H134">
        <f t="shared" si="11"/>
        <v>559.84549187036464</v>
      </c>
      <c r="I134">
        <f t="shared" si="6"/>
        <v>559.84549187036464</v>
      </c>
      <c r="L134">
        <f t="shared" si="12"/>
        <v>-128.91646193279837</v>
      </c>
    </row>
    <row r="135" spans="1:12" x14ac:dyDescent="0.25">
      <c r="A135">
        <v>4.4333333333333336</v>
      </c>
      <c r="B135">
        <v>25.911688346355088</v>
      </c>
      <c r="C135">
        <v>72.808691473273853</v>
      </c>
      <c r="D135">
        <f t="shared" si="9"/>
        <v>432.80869147327383</v>
      </c>
      <c r="H135">
        <f t="shared" si="11"/>
        <v>561.73982520372374</v>
      </c>
      <c r="I135">
        <f t="shared" si="6"/>
        <v>561.73982520372374</v>
      </c>
      <c r="L135">
        <f t="shared" si="12"/>
        <v>-128.93113373044991</v>
      </c>
    </row>
    <row r="136" spans="1:12" x14ac:dyDescent="0.25">
      <c r="A136">
        <v>4.4666666666666668</v>
      </c>
      <c r="B136">
        <v>25.496114235784379</v>
      </c>
      <c r="C136">
        <v>74.639522318882385</v>
      </c>
      <c r="D136">
        <f t="shared" si="9"/>
        <v>434.63952231888237</v>
      </c>
      <c r="H136">
        <f t="shared" si="11"/>
        <v>563.63415853702463</v>
      </c>
      <c r="I136">
        <f t="shared" si="6"/>
        <v>563.63415853702463</v>
      </c>
      <c r="L136">
        <f t="shared" si="12"/>
        <v>-128.99463621814226</v>
      </c>
    </row>
    <row r="137" spans="1:12" x14ac:dyDescent="0.25">
      <c r="A137">
        <v>4.5</v>
      </c>
      <c r="B137">
        <v>13.7330885656324</v>
      </c>
      <c r="C137">
        <v>76.480850297812083</v>
      </c>
      <c r="D137">
        <f t="shared" si="9"/>
        <v>436.48085029781208</v>
      </c>
      <c r="H137">
        <f t="shared" si="11"/>
        <v>565.52849187038373</v>
      </c>
      <c r="I137">
        <f t="shared" si="6"/>
        <v>565.52849187038373</v>
      </c>
      <c r="L137">
        <f t="shared" si="12"/>
        <v>-129.04764157257165</v>
      </c>
    </row>
    <row r="138" spans="1:12" x14ac:dyDescent="0.25">
      <c r="A138">
        <v>4.5333333333333332</v>
      </c>
      <c r="B138">
        <v>14.07031014667405</v>
      </c>
      <c r="C138">
        <v>78.288034370532358</v>
      </c>
      <c r="D138">
        <f t="shared" si="9"/>
        <v>438.28803437053239</v>
      </c>
      <c r="H138">
        <f t="shared" si="11"/>
        <v>567.42282520374283</v>
      </c>
      <c r="I138">
        <f t="shared" si="6"/>
        <v>567.42282520374283</v>
      </c>
      <c r="L138">
        <f t="shared" si="12"/>
        <v>-129.13479083321045</v>
      </c>
    </row>
    <row r="139" spans="1:12" x14ac:dyDescent="0.25">
      <c r="A139">
        <v>4.5666666666666664</v>
      </c>
      <c r="B139">
        <v>14.42599509533431</v>
      </c>
      <c r="C139">
        <v>80.082558157299289</v>
      </c>
      <c r="D139">
        <f t="shared" si="9"/>
        <v>440.08255815729927</v>
      </c>
      <c r="H139">
        <f t="shared" si="11"/>
        <v>569.31715853704372</v>
      </c>
      <c r="I139">
        <f t="shared" ref="I139:I143" si="13">MOD(H139, 360)+360</f>
        <v>569.31715853704372</v>
      </c>
      <c r="L139">
        <f t="shared" si="12"/>
        <v>-129.23460037974445</v>
      </c>
    </row>
    <row r="140" spans="1:12" x14ac:dyDescent="0.25">
      <c r="A140">
        <v>4.5999999999999996</v>
      </c>
      <c r="B140">
        <v>14.74980803633631</v>
      </c>
      <c r="C140">
        <v>81.959039969629757</v>
      </c>
      <c r="D140">
        <f t="shared" si="9"/>
        <v>441.95903996962977</v>
      </c>
      <c r="H140">
        <f t="shared" si="11"/>
        <v>571.21149187040282</v>
      </c>
      <c r="I140">
        <f t="shared" si="13"/>
        <v>571.21149187040282</v>
      </c>
      <c r="L140">
        <f t="shared" si="12"/>
        <v>-129.25245190077305</v>
      </c>
    </row>
    <row r="141" spans="1:12" x14ac:dyDescent="0.25">
      <c r="A141">
        <v>4.6333333333333329</v>
      </c>
      <c r="B141">
        <v>14.710547248086179</v>
      </c>
      <c r="C141">
        <v>83.942556136806715</v>
      </c>
      <c r="D141">
        <f t="shared" si="9"/>
        <v>443.94255613680673</v>
      </c>
      <c r="H141">
        <f t="shared" si="11"/>
        <v>573.10582520370372</v>
      </c>
      <c r="I141">
        <f t="shared" si="13"/>
        <v>573.10582520370372</v>
      </c>
      <c r="L141">
        <f t="shared" si="12"/>
        <v>-129.16326906689699</v>
      </c>
    </row>
    <row r="142" spans="1:12" x14ac:dyDescent="0.25">
      <c r="A142">
        <v>4.666666666666667</v>
      </c>
      <c r="B142">
        <v>15.57147378981956</v>
      </c>
      <c r="C142">
        <v>85.617386532222255</v>
      </c>
      <c r="D142">
        <f t="shared" si="9"/>
        <v>445.61738653222227</v>
      </c>
      <c r="H142">
        <f t="shared" si="11"/>
        <v>575.00015853706282</v>
      </c>
      <c r="I142">
        <f t="shared" si="13"/>
        <v>575.00015853706282</v>
      </c>
      <c r="L142">
        <f t="shared" si="12"/>
        <v>-129.38277200484055</v>
      </c>
    </row>
    <row r="143" spans="1:12" x14ac:dyDescent="0.25">
      <c r="A143">
        <v>4.7</v>
      </c>
      <c r="B143">
        <v>16.002420517142252</v>
      </c>
      <c r="C143">
        <v>87.512521054388301</v>
      </c>
      <c r="D143">
        <f t="shared" si="9"/>
        <v>447.51252105438829</v>
      </c>
      <c r="H143">
        <f t="shared" si="11"/>
        <v>576.89449187036371</v>
      </c>
      <c r="I143">
        <f t="shared" si="13"/>
        <v>576.89449187036371</v>
      </c>
      <c r="L143">
        <f t="shared" si="12"/>
        <v>-129.38197081597542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6107-EAA7-4321-BF3D-A73260D01142}">
  <dimension ref="A1:N293"/>
  <sheetViews>
    <sheetView workbookViewId="0">
      <selection activeCell="F8" sqref="F8"/>
    </sheetView>
  </sheetViews>
  <sheetFormatPr defaultRowHeight="15" x14ac:dyDescent="0.25"/>
  <cols>
    <col min="6" max="6" width="28" customWidth="1"/>
    <col min="8" max="8" width="15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5" t="s">
        <v>8</v>
      </c>
      <c r="I1" s="4" t="s">
        <v>5</v>
      </c>
      <c r="J1" s="4"/>
      <c r="K1" t="s">
        <v>9</v>
      </c>
    </row>
    <row r="2" spans="1:14" x14ac:dyDescent="0.25">
      <c r="A2">
        <v>0</v>
      </c>
      <c r="B2">
        <v>33.97020512714095</v>
      </c>
      <c r="C2">
        <v>25.17048474269691</v>
      </c>
      <c r="D2">
        <f>IF(C2&gt;=0,C2,C2+360)</f>
        <v>25.17048474269691</v>
      </c>
      <c r="H2">
        <f xml:space="preserve"> 58.441 * (A2+$F$8)  + 175.11 - MOD(58.441 * (A2+ $F$8)  + 175.11, 360)</f>
        <v>193680</v>
      </c>
      <c r="I2">
        <f xml:space="preserve"> 58.441 * (A2 +$F$8)  + 175.11 - $H$2</f>
        <v>152.80493390135234</v>
      </c>
      <c r="K2">
        <f>D2-I2</f>
        <v>-127.63444915865543</v>
      </c>
      <c r="M2" t="s">
        <v>12</v>
      </c>
      <c r="N2">
        <f>AVERAGE(K2:K293)</f>
        <v>-140.05409108791969</v>
      </c>
    </row>
    <row r="3" spans="1:14" x14ac:dyDescent="0.25">
      <c r="A3">
        <v>3.3333333333333333E-2</v>
      </c>
      <c r="B3">
        <v>33.711893501369239</v>
      </c>
      <c r="C3">
        <v>26.92138733256941</v>
      </c>
      <c r="D3">
        <f t="shared" ref="D3:D66" si="0">IF(C3&gt;=0,C3,C3+360)</f>
        <v>26.92138733256941</v>
      </c>
      <c r="I3">
        <f t="shared" ref="I3:I66" si="1" xml:space="preserve"> 58.441 * (A3 +$F$8)  + 175.11 - $H$2</f>
        <v>154.75296723470092</v>
      </c>
      <c r="K3">
        <f t="shared" ref="K3:K66" si="2">D3-I3</f>
        <v>-127.83157990213151</v>
      </c>
      <c r="M3" t="s">
        <v>13</v>
      </c>
      <c r="N3">
        <f>STDEVA(K2:K293)</f>
        <v>6.406423794703251</v>
      </c>
    </row>
    <row r="4" spans="1:14" x14ac:dyDescent="0.25">
      <c r="A4">
        <v>6.6666666666666666E-2</v>
      </c>
      <c r="B4">
        <v>33.711893501369239</v>
      </c>
      <c r="C4">
        <v>26.888620350808061</v>
      </c>
      <c r="D4">
        <f t="shared" si="0"/>
        <v>26.888620350808061</v>
      </c>
      <c r="F4" t="s">
        <v>14</v>
      </c>
      <c r="I4">
        <f t="shared" si="1"/>
        <v>156.70100056802039</v>
      </c>
      <c r="K4">
        <f t="shared" si="2"/>
        <v>-129.81238021721234</v>
      </c>
    </row>
    <row r="5" spans="1:14" x14ac:dyDescent="0.25">
      <c r="A5">
        <v>0.1</v>
      </c>
      <c r="B5">
        <v>32.905290711260108</v>
      </c>
      <c r="C5">
        <v>30.815286867894638</v>
      </c>
      <c r="D5">
        <f t="shared" si="0"/>
        <v>30.815286867894638</v>
      </c>
      <c r="F5" s="6">
        <f>1693848159.78-360</f>
        <v>1693847799.78</v>
      </c>
      <c r="I5">
        <f t="shared" si="1"/>
        <v>158.64903390136897</v>
      </c>
      <c r="K5">
        <f t="shared" si="2"/>
        <v>-127.83374703347432</v>
      </c>
    </row>
    <row r="6" spans="1:14" x14ac:dyDescent="0.25">
      <c r="A6">
        <v>0.1333333333333333</v>
      </c>
      <c r="B6">
        <v>32.478569167715797</v>
      </c>
      <c r="C6">
        <v>32.763867056368518</v>
      </c>
      <c r="D6">
        <f t="shared" si="0"/>
        <v>32.763867056368518</v>
      </c>
      <c r="I6">
        <f t="shared" si="1"/>
        <v>160.59706723468844</v>
      </c>
      <c r="K6">
        <f t="shared" si="2"/>
        <v>-127.83320017831991</v>
      </c>
    </row>
    <row r="7" spans="1:14" x14ac:dyDescent="0.25">
      <c r="A7">
        <v>0.16666666666666671</v>
      </c>
      <c r="B7">
        <v>32.478569167715797</v>
      </c>
      <c r="C7">
        <v>32.767598270229222</v>
      </c>
      <c r="D7">
        <f t="shared" si="0"/>
        <v>32.767598270229222</v>
      </c>
      <c r="F7" t="s">
        <v>16</v>
      </c>
      <c r="I7">
        <f t="shared" si="1"/>
        <v>162.54510056800791</v>
      </c>
      <c r="K7">
        <f t="shared" si="2"/>
        <v>-129.77750229777868</v>
      </c>
    </row>
    <row r="8" spans="1:14" x14ac:dyDescent="0.25">
      <c r="A8">
        <v>0.2</v>
      </c>
      <c r="B8">
        <v>31.9012452044878</v>
      </c>
      <c r="C8">
        <v>36.544166464024663</v>
      </c>
      <c r="D8">
        <f t="shared" si="0"/>
        <v>36.544166464024663</v>
      </c>
      <c r="F8">
        <f>F5-'att7'!F4-'att7'!A143-F11</f>
        <v>3313.7300000667574</v>
      </c>
      <c r="I8">
        <f t="shared" si="1"/>
        <v>164.49313390135649</v>
      </c>
      <c r="K8">
        <f t="shared" si="2"/>
        <v>-127.94896743733182</v>
      </c>
    </row>
    <row r="9" spans="1:14" x14ac:dyDescent="0.25">
      <c r="A9">
        <v>0.23333333333333331</v>
      </c>
      <c r="B9">
        <v>31.51668977440869</v>
      </c>
      <c r="C9">
        <v>38.345188396342543</v>
      </c>
      <c r="D9">
        <f t="shared" si="0"/>
        <v>38.345188396342543</v>
      </c>
      <c r="I9">
        <f t="shared" si="1"/>
        <v>166.44116723467596</v>
      </c>
      <c r="K9">
        <f t="shared" si="2"/>
        <v>-128.09597883833342</v>
      </c>
    </row>
    <row r="10" spans="1:14" x14ac:dyDescent="0.25">
      <c r="A10">
        <v>0.26666666666666672</v>
      </c>
      <c r="B10">
        <v>31.51668977440869</v>
      </c>
      <c r="C10">
        <v>38.345188396342543</v>
      </c>
      <c r="D10">
        <f t="shared" si="0"/>
        <v>38.345188396342543</v>
      </c>
      <c r="F10" t="s">
        <v>17</v>
      </c>
      <c r="I10">
        <f t="shared" si="1"/>
        <v>168.38920056805364</v>
      </c>
      <c r="K10">
        <f t="shared" si="2"/>
        <v>-130.0440121717111</v>
      </c>
    </row>
    <row r="11" spans="1:14" x14ac:dyDescent="0.25">
      <c r="A11">
        <v>0.3</v>
      </c>
      <c r="B11">
        <v>30.67340876944305</v>
      </c>
      <c r="C11">
        <v>42.100025201290293</v>
      </c>
      <c r="D11">
        <f t="shared" si="0"/>
        <v>42.100025201290293</v>
      </c>
      <c r="F11">
        <v>0</v>
      </c>
      <c r="I11">
        <f t="shared" si="1"/>
        <v>170.33723390137311</v>
      </c>
      <c r="K11">
        <f t="shared" si="2"/>
        <v>-128.23720870008282</v>
      </c>
    </row>
    <row r="12" spans="1:14" x14ac:dyDescent="0.25">
      <c r="A12">
        <v>0.33333333333333331</v>
      </c>
      <c r="B12">
        <v>30.227349249223408</v>
      </c>
      <c r="C12">
        <v>44.014397515199981</v>
      </c>
      <c r="D12">
        <f t="shared" si="0"/>
        <v>44.014397515199981</v>
      </c>
      <c r="I12">
        <f t="shared" si="1"/>
        <v>172.28526723469258</v>
      </c>
      <c r="K12">
        <f t="shared" si="2"/>
        <v>-128.27086971949259</v>
      </c>
    </row>
    <row r="13" spans="1:14" x14ac:dyDescent="0.25">
      <c r="A13">
        <v>0.36666666666666659</v>
      </c>
      <c r="B13">
        <v>30.227349249223408</v>
      </c>
      <c r="C13">
        <v>44.009527460069663</v>
      </c>
      <c r="D13">
        <f t="shared" si="0"/>
        <v>44.009527460069663</v>
      </c>
      <c r="I13">
        <f t="shared" si="1"/>
        <v>174.23330056804116</v>
      </c>
      <c r="K13">
        <f t="shared" si="2"/>
        <v>-130.22377310797151</v>
      </c>
    </row>
    <row r="14" spans="1:14" x14ac:dyDescent="0.25">
      <c r="A14">
        <v>0.4</v>
      </c>
      <c r="B14">
        <v>29.346500299005321</v>
      </c>
      <c r="C14">
        <v>47.707109654035563</v>
      </c>
      <c r="D14">
        <f t="shared" si="0"/>
        <v>47.707109654035563</v>
      </c>
      <c r="I14">
        <f t="shared" si="1"/>
        <v>176.18133390136063</v>
      </c>
      <c r="K14">
        <f t="shared" si="2"/>
        <v>-128.47422424732508</v>
      </c>
    </row>
    <row r="15" spans="1:14" x14ac:dyDescent="0.25">
      <c r="A15">
        <v>0.43333333333333329</v>
      </c>
      <c r="B15">
        <v>29.008794611308229</v>
      </c>
      <c r="C15">
        <v>49.508824127180247</v>
      </c>
      <c r="D15">
        <f t="shared" si="0"/>
        <v>49.508824127180247</v>
      </c>
      <c r="I15">
        <f t="shared" si="1"/>
        <v>178.12936723470921</v>
      </c>
      <c r="K15">
        <f t="shared" si="2"/>
        <v>-128.62054310752896</v>
      </c>
    </row>
    <row r="16" spans="1:14" x14ac:dyDescent="0.25">
      <c r="A16">
        <v>0.46666666666666667</v>
      </c>
      <c r="B16">
        <v>29.008794611308229</v>
      </c>
      <c r="C16">
        <v>49.512763072092447</v>
      </c>
      <c r="D16">
        <f t="shared" si="0"/>
        <v>49.512763072092447</v>
      </c>
      <c r="I16">
        <f t="shared" si="1"/>
        <v>180.07740056802868</v>
      </c>
      <c r="K16">
        <f t="shared" si="2"/>
        <v>-130.56463749593624</v>
      </c>
    </row>
    <row r="17" spans="1:11" x14ac:dyDescent="0.25">
      <c r="A17">
        <v>0.5</v>
      </c>
      <c r="B17">
        <v>28.153771475623842</v>
      </c>
      <c r="C17">
        <v>53.100506215899642</v>
      </c>
      <c r="D17">
        <f t="shared" si="0"/>
        <v>53.100506215899642</v>
      </c>
      <c r="I17">
        <f t="shared" si="1"/>
        <v>182.02543390134815</v>
      </c>
      <c r="K17">
        <f t="shared" si="2"/>
        <v>-128.92492768544849</v>
      </c>
    </row>
    <row r="18" spans="1:11" x14ac:dyDescent="0.25">
      <c r="A18">
        <v>0.53333333333333333</v>
      </c>
      <c r="B18">
        <v>27.486425654766361</v>
      </c>
      <c r="C18">
        <v>33.426031614207197</v>
      </c>
      <c r="D18">
        <f t="shared" si="0"/>
        <v>33.426031614207197</v>
      </c>
      <c r="I18">
        <f t="shared" si="1"/>
        <v>183.97346723469673</v>
      </c>
      <c r="K18">
        <f t="shared" si="2"/>
        <v>-150.54743562048952</v>
      </c>
    </row>
    <row r="19" spans="1:11" x14ac:dyDescent="0.25">
      <c r="A19">
        <v>0.56666666666666665</v>
      </c>
      <c r="B19">
        <v>27.486425654766361</v>
      </c>
      <c r="C19">
        <v>33.426031614207197</v>
      </c>
      <c r="D19">
        <f t="shared" si="0"/>
        <v>33.426031614207197</v>
      </c>
      <c r="I19">
        <f t="shared" si="1"/>
        <v>185.9215005680162</v>
      </c>
      <c r="K19">
        <f t="shared" si="2"/>
        <v>-152.495468953809</v>
      </c>
    </row>
    <row r="20" spans="1:11" x14ac:dyDescent="0.25">
      <c r="A20">
        <v>0.6</v>
      </c>
      <c r="B20">
        <v>26.801894663300509</v>
      </c>
      <c r="C20">
        <v>52.29626399177986</v>
      </c>
      <c r="D20">
        <f t="shared" si="0"/>
        <v>52.29626399177986</v>
      </c>
      <c r="I20">
        <f t="shared" si="1"/>
        <v>187.86953390136478</v>
      </c>
      <c r="K20">
        <f t="shared" si="2"/>
        <v>-135.57326990958492</v>
      </c>
    </row>
    <row r="21" spans="1:11" x14ac:dyDescent="0.25">
      <c r="A21">
        <v>0.6333333333333333</v>
      </c>
      <c r="B21">
        <v>26.328167073225941</v>
      </c>
      <c r="C21">
        <v>54.724797538777118</v>
      </c>
      <c r="D21">
        <f t="shared" si="0"/>
        <v>54.724797538777118</v>
      </c>
      <c r="I21">
        <f t="shared" si="1"/>
        <v>189.81756723468425</v>
      </c>
      <c r="K21">
        <f t="shared" si="2"/>
        <v>-135.09276969590712</v>
      </c>
    </row>
    <row r="22" spans="1:11" x14ac:dyDescent="0.25">
      <c r="A22">
        <v>0.66666666666666663</v>
      </c>
      <c r="B22">
        <v>26.328167073225941</v>
      </c>
      <c r="C22">
        <v>44.731319690584733</v>
      </c>
      <c r="D22">
        <f t="shared" si="0"/>
        <v>44.731319690584733</v>
      </c>
      <c r="I22">
        <f t="shared" si="1"/>
        <v>191.76560056803282</v>
      </c>
      <c r="K22">
        <f t="shared" si="2"/>
        <v>-147.03428087744808</v>
      </c>
    </row>
    <row r="23" spans="1:11" x14ac:dyDescent="0.25">
      <c r="A23">
        <v>0.7</v>
      </c>
      <c r="B23">
        <v>25.371833570038969</v>
      </c>
      <c r="C23">
        <v>64.331076551032979</v>
      </c>
      <c r="D23">
        <f t="shared" si="0"/>
        <v>64.331076551032979</v>
      </c>
      <c r="I23">
        <f t="shared" si="1"/>
        <v>193.7136339013523</v>
      </c>
      <c r="K23">
        <f t="shared" si="2"/>
        <v>-129.3825573503193</v>
      </c>
    </row>
    <row r="24" spans="1:11" x14ac:dyDescent="0.25">
      <c r="A24">
        <v>0.73333333333333328</v>
      </c>
      <c r="B24">
        <v>13.963970817906279</v>
      </c>
      <c r="C24">
        <v>66.217956800147817</v>
      </c>
      <c r="D24">
        <f t="shared" si="0"/>
        <v>66.217956800147817</v>
      </c>
      <c r="I24">
        <f t="shared" si="1"/>
        <v>195.66166723467177</v>
      </c>
      <c r="K24">
        <f t="shared" si="2"/>
        <v>-129.44371043452395</v>
      </c>
    </row>
    <row r="25" spans="1:11" x14ac:dyDescent="0.25">
      <c r="A25">
        <v>0.76666666666666661</v>
      </c>
      <c r="B25">
        <v>13.963970817906279</v>
      </c>
      <c r="C25">
        <v>66.21125131332542</v>
      </c>
      <c r="D25">
        <f t="shared" si="0"/>
        <v>66.21125131332542</v>
      </c>
      <c r="I25">
        <f t="shared" si="1"/>
        <v>197.60970056804945</v>
      </c>
      <c r="K25">
        <f t="shared" si="2"/>
        <v>-131.39844925472403</v>
      </c>
    </row>
    <row r="26" spans="1:11" x14ac:dyDescent="0.25">
      <c r="A26">
        <v>0.8</v>
      </c>
      <c r="B26">
        <v>14.533097681752199</v>
      </c>
      <c r="C26">
        <v>69.927459384023393</v>
      </c>
      <c r="D26">
        <f t="shared" si="0"/>
        <v>69.927459384023393</v>
      </c>
      <c r="I26">
        <f t="shared" si="1"/>
        <v>199.55773390136892</v>
      </c>
      <c r="K26">
        <f t="shared" si="2"/>
        <v>-129.63027451734553</v>
      </c>
    </row>
    <row r="27" spans="1:11" x14ac:dyDescent="0.25">
      <c r="A27">
        <v>0.83333333333333337</v>
      </c>
      <c r="B27">
        <v>14.91029019588831</v>
      </c>
      <c r="C27">
        <v>71.806496470611251</v>
      </c>
      <c r="D27">
        <f t="shared" si="0"/>
        <v>71.806496470611251</v>
      </c>
      <c r="I27">
        <f t="shared" si="1"/>
        <v>201.5057672347175</v>
      </c>
      <c r="K27">
        <f t="shared" si="2"/>
        <v>-129.69927076410625</v>
      </c>
    </row>
    <row r="28" spans="1:11" x14ac:dyDescent="0.25">
      <c r="A28">
        <v>0.8666666666666667</v>
      </c>
      <c r="B28">
        <v>14.91029019588831</v>
      </c>
      <c r="C28">
        <v>71.812602656732508</v>
      </c>
      <c r="D28">
        <f t="shared" si="0"/>
        <v>71.812602656732508</v>
      </c>
      <c r="I28">
        <f t="shared" si="1"/>
        <v>203.45380056803697</v>
      </c>
      <c r="K28">
        <f t="shared" si="2"/>
        <v>-131.64119791130446</v>
      </c>
    </row>
    <row r="29" spans="1:11" x14ac:dyDescent="0.25">
      <c r="A29">
        <v>0.9</v>
      </c>
      <c r="B29">
        <v>15.69306253759599</v>
      </c>
      <c r="C29">
        <v>75.469134171074813</v>
      </c>
      <c r="D29">
        <f t="shared" si="0"/>
        <v>75.469134171074813</v>
      </c>
      <c r="I29">
        <f t="shared" si="1"/>
        <v>205.40183390135644</v>
      </c>
      <c r="K29">
        <f t="shared" si="2"/>
        <v>-129.93269973028163</v>
      </c>
    </row>
    <row r="30" spans="1:11" x14ac:dyDescent="0.25">
      <c r="A30">
        <v>0.93333333333333335</v>
      </c>
      <c r="B30">
        <v>16.002420517142252</v>
      </c>
      <c r="C30">
        <v>77.325600608284418</v>
      </c>
      <c r="D30">
        <f t="shared" si="0"/>
        <v>77.325600608284418</v>
      </c>
      <c r="I30">
        <f t="shared" si="1"/>
        <v>207.34986723470502</v>
      </c>
      <c r="K30">
        <f t="shared" si="2"/>
        <v>-130.0242666264206</v>
      </c>
    </row>
    <row r="31" spans="1:11" x14ac:dyDescent="0.25">
      <c r="A31">
        <v>0.96666666666666667</v>
      </c>
      <c r="B31">
        <v>16.002420517142252</v>
      </c>
      <c r="C31">
        <v>77.311217738395044</v>
      </c>
      <c r="D31">
        <f t="shared" si="0"/>
        <v>77.311217738395044</v>
      </c>
      <c r="I31">
        <f t="shared" si="1"/>
        <v>209.29790056802449</v>
      </c>
      <c r="K31">
        <f t="shared" si="2"/>
        <v>-131.98668282962944</v>
      </c>
    </row>
    <row r="32" spans="1:11" x14ac:dyDescent="0.25">
      <c r="A32">
        <v>1</v>
      </c>
      <c r="B32">
        <v>16.657436761528789</v>
      </c>
      <c r="C32">
        <v>81.020679967755342</v>
      </c>
      <c r="D32">
        <f t="shared" si="0"/>
        <v>81.020679967755342</v>
      </c>
      <c r="I32">
        <f t="shared" si="1"/>
        <v>211.24593390137306</v>
      </c>
      <c r="K32">
        <f t="shared" si="2"/>
        <v>-130.22525393361772</v>
      </c>
    </row>
    <row r="33" spans="1:11" x14ac:dyDescent="0.25">
      <c r="A33">
        <v>1.033333333333333</v>
      </c>
      <c r="B33">
        <v>17.21114201324707</v>
      </c>
      <c r="C33">
        <v>82.838481363784624</v>
      </c>
      <c r="D33">
        <f t="shared" si="0"/>
        <v>82.838481363784624</v>
      </c>
      <c r="I33">
        <f t="shared" si="1"/>
        <v>213.19396723469254</v>
      </c>
      <c r="K33">
        <f t="shared" si="2"/>
        <v>-130.3554858709079</v>
      </c>
    </row>
    <row r="34" spans="1:11" x14ac:dyDescent="0.25">
      <c r="A34">
        <v>1.0666666666666671</v>
      </c>
      <c r="B34">
        <v>17.21114201324707</v>
      </c>
      <c r="C34">
        <v>82.838481363784624</v>
      </c>
      <c r="D34">
        <f t="shared" si="0"/>
        <v>82.838481363784624</v>
      </c>
      <c r="I34">
        <f t="shared" si="1"/>
        <v>215.14200056801201</v>
      </c>
      <c r="K34">
        <f t="shared" si="2"/>
        <v>-132.30351920422737</v>
      </c>
    </row>
    <row r="35" spans="1:11" x14ac:dyDescent="0.25">
      <c r="A35">
        <v>1.1000000000000001</v>
      </c>
      <c r="B35">
        <v>17.725935627275049</v>
      </c>
      <c r="C35">
        <v>86.479865218418354</v>
      </c>
      <c r="D35">
        <f t="shared" si="0"/>
        <v>86.479865218418354</v>
      </c>
      <c r="I35">
        <f t="shared" si="1"/>
        <v>217.09003390136058</v>
      </c>
      <c r="K35">
        <f t="shared" si="2"/>
        <v>-130.61016868294223</v>
      </c>
    </row>
    <row r="36" spans="1:11" x14ac:dyDescent="0.25">
      <c r="A36">
        <v>1.1333333333333331</v>
      </c>
      <c r="B36">
        <v>18.154670257619959</v>
      </c>
      <c r="C36">
        <v>88.545445558278004</v>
      </c>
      <c r="D36">
        <f t="shared" si="0"/>
        <v>88.545445558278004</v>
      </c>
      <c r="I36">
        <f t="shared" si="1"/>
        <v>219.03806723468006</v>
      </c>
      <c r="K36">
        <f t="shared" si="2"/>
        <v>-130.49262167640205</v>
      </c>
    </row>
    <row r="37" spans="1:11" x14ac:dyDescent="0.25">
      <c r="A37">
        <v>1.166666666666667</v>
      </c>
      <c r="B37">
        <v>18.154670257619959</v>
      </c>
      <c r="C37">
        <v>88.545445558278004</v>
      </c>
      <c r="D37">
        <f t="shared" si="0"/>
        <v>88.545445558278004</v>
      </c>
      <c r="I37">
        <f t="shared" si="1"/>
        <v>220.98610056802863</v>
      </c>
      <c r="K37">
        <f t="shared" si="2"/>
        <v>-132.44065500975063</v>
      </c>
    </row>
    <row r="38" spans="1:11" x14ac:dyDescent="0.25">
      <c r="A38">
        <v>1.2</v>
      </c>
      <c r="B38">
        <v>18.579253785273519</v>
      </c>
      <c r="C38">
        <v>91.815744532993151</v>
      </c>
      <c r="D38">
        <f t="shared" si="0"/>
        <v>91.815744532993151</v>
      </c>
      <c r="I38">
        <f t="shared" si="1"/>
        <v>222.9341339013481</v>
      </c>
      <c r="K38">
        <f t="shared" si="2"/>
        <v>-131.11838936835494</v>
      </c>
    </row>
    <row r="39" spans="1:11" x14ac:dyDescent="0.25">
      <c r="A39">
        <v>1.2333333333333329</v>
      </c>
      <c r="B39">
        <v>18.988196790894179</v>
      </c>
      <c r="C39">
        <v>93.722113133304916</v>
      </c>
      <c r="D39">
        <f t="shared" si="0"/>
        <v>93.722113133304916</v>
      </c>
      <c r="I39">
        <f t="shared" si="1"/>
        <v>224.88216723469668</v>
      </c>
      <c r="K39">
        <f t="shared" si="2"/>
        <v>-131.16005410139178</v>
      </c>
    </row>
    <row r="40" spans="1:11" x14ac:dyDescent="0.25">
      <c r="A40">
        <v>1.2666666666666671</v>
      </c>
      <c r="B40">
        <v>18.988196790894179</v>
      </c>
      <c r="C40">
        <v>93.722113133304916</v>
      </c>
      <c r="D40">
        <f t="shared" si="0"/>
        <v>93.722113133304916</v>
      </c>
      <c r="I40">
        <f t="shared" si="1"/>
        <v>226.83020056804526</v>
      </c>
      <c r="K40">
        <f t="shared" si="2"/>
        <v>-133.10808743474036</v>
      </c>
    </row>
    <row r="41" spans="1:11" x14ac:dyDescent="0.25">
      <c r="A41">
        <v>1.3</v>
      </c>
      <c r="B41">
        <v>19.256096463557551</v>
      </c>
      <c r="C41">
        <v>97.351294059785886</v>
      </c>
      <c r="D41">
        <f t="shared" si="0"/>
        <v>97.351294059785886</v>
      </c>
      <c r="I41">
        <f t="shared" si="1"/>
        <v>228.77823390136473</v>
      </c>
      <c r="K41">
        <f t="shared" si="2"/>
        <v>-131.42693984157884</v>
      </c>
    </row>
    <row r="42" spans="1:11" x14ac:dyDescent="0.25">
      <c r="A42">
        <v>1.333333333333333</v>
      </c>
      <c r="B42">
        <v>19.256096463557551</v>
      </c>
      <c r="C42">
        <v>99.282830869538287</v>
      </c>
      <c r="D42">
        <f t="shared" si="0"/>
        <v>99.282830869538287</v>
      </c>
      <c r="I42">
        <f t="shared" si="1"/>
        <v>230.7262672347133</v>
      </c>
      <c r="K42">
        <f t="shared" si="2"/>
        <v>-131.44343636517502</v>
      </c>
    </row>
    <row r="43" spans="1:11" x14ac:dyDescent="0.25">
      <c r="A43">
        <v>1.3666666666666669</v>
      </c>
      <c r="B43">
        <v>19.256096463557551</v>
      </c>
      <c r="C43">
        <v>99.277412711431879</v>
      </c>
      <c r="D43">
        <f t="shared" si="0"/>
        <v>99.277412711431879</v>
      </c>
      <c r="I43">
        <f t="shared" si="1"/>
        <v>232.67430056803278</v>
      </c>
      <c r="K43">
        <f t="shared" si="2"/>
        <v>-133.3968878566009</v>
      </c>
    </row>
    <row r="44" spans="1:11" x14ac:dyDescent="0.25">
      <c r="A44">
        <v>1.4</v>
      </c>
      <c r="B44">
        <v>18.822635537012999</v>
      </c>
      <c r="C44">
        <v>102.8730291877492</v>
      </c>
      <c r="D44">
        <f t="shared" si="0"/>
        <v>102.8730291877492</v>
      </c>
      <c r="I44">
        <f t="shared" si="1"/>
        <v>234.62233390138135</v>
      </c>
      <c r="K44">
        <f t="shared" si="2"/>
        <v>-131.74930471363217</v>
      </c>
    </row>
    <row r="45" spans="1:11" x14ac:dyDescent="0.25">
      <c r="A45">
        <v>1.4333333333333329</v>
      </c>
      <c r="B45">
        <v>18.822635537012999</v>
      </c>
      <c r="C45">
        <v>104.6821709024682</v>
      </c>
      <c r="D45">
        <f t="shared" si="0"/>
        <v>104.6821709024682</v>
      </c>
      <c r="I45">
        <f t="shared" si="1"/>
        <v>236.57036723470083</v>
      </c>
      <c r="K45">
        <f t="shared" si="2"/>
        <v>-131.88819633223261</v>
      </c>
    </row>
    <row r="46" spans="1:11" x14ac:dyDescent="0.25">
      <c r="A46">
        <v>1.466666666666667</v>
      </c>
      <c r="B46">
        <v>18.822635537012999</v>
      </c>
      <c r="C46">
        <v>104.6821709024682</v>
      </c>
      <c r="D46">
        <f t="shared" si="0"/>
        <v>104.6821709024682</v>
      </c>
      <c r="I46">
        <f t="shared" si="1"/>
        <v>238.5184005680203</v>
      </c>
      <c r="K46">
        <f t="shared" si="2"/>
        <v>-133.83622966555208</v>
      </c>
    </row>
    <row r="47" spans="1:11" x14ac:dyDescent="0.25">
      <c r="A47">
        <v>1.5</v>
      </c>
      <c r="B47">
        <v>18.389249027086031</v>
      </c>
      <c r="C47">
        <v>108.3852424403667</v>
      </c>
      <c r="D47">
        <f t="shared" si="0"/>
        <v>108.3852424403667</v>
      </c>
      <c r="I47">
        <f t="shared" si="1"/>
        <v>240.46643390136887</v>
      </c>
      <c r="K47">
        <f t="shared" si="2"/>
        <v>-132.08119146100216</v>
      </c>
    </row>
    <row r="48" spans="1:11" x14ac:dyDescent="0.25">
      <c r="A48">
        <v>1.533333333333333</v>
      </c>
      <c r="B48">
        <v>18.305799117231789</v>
      </c>
      <c r="C48">
        <v>110.2528718793064</v>
      </c>
      <c r="D48">
        <f t="shared" si="0"/>
        <v>110.2528718793064</v>
      </c>
      <c r="I48">
        <f t="shared" si="1"/>
        <v>242.41446723468835</v>
      </c>
      <c r="K48">
        <f t="shared" si="2"/>
        <v>-132.16159535538196</v>
      </c>
    </row>
    <row r="49" spans="1:11" x14ac:dyDescent="0.25">
      <c r="A49">
        <v>1.5666666666666671</v>
      </c>
      <c r="B49">
        <v>18.305799117231789</v>
      </c>
      <c r="C49">
        <v>110.2513678559386</v>
      </c>
      <c r="D49">
        <f t="shared" si="0"/>
        <v>110.2513678559386</v>
      </c>
      <c r="I49">
        <f t="shared" si="1"/>
        <v>244.36250056803692</v>
      </c>
      <c r="K49">
        <f t="shared" si="2"/>
        <v>-134.11113271209831</v>
      </c>
    </row>
    <row r="50" spans="1:11" x14ac:dyDescent="0.25">
      <c r="A50">
        <v>1.6</v>
      </c>
      <c r="B50">
        <v>17.725935627275049</v>
      </c>
      <c r="C50">
        <v>113.95847416028759</v>
      </c>
      <c r="D50">
        <f t="shared" si="0"/>
        <v>113.95847416028759</v>
      </c>
      <c r="I50">
        <f t="shared" si="1"/>
        <v>246.31053390135639</v>
      </c>
      <c r="K50">
        <f t="shared" si="2"/>
        <v>-132.35205974106879</v>
      </c>
    </row>
    <row r="51" spans="1:11" x14ac:dyDescent="0.25">
      <c r="A51">
        <v>1.6333333333333331</v>
      </c>
      <c r="B51">
        <v>17.608995508583781</v>
      </c>
      <c r="C51">
        <v>115.8362148871707</v>
      </c>
      <c r="D51">
        <f t="shared" si="0"/>
        <v>115.8362148871707</v>
      </c>
      <c r="I51">
        <f t="shared" si="1"/>
        <v>248.25856723467587</v>
      </c>
      <c r="K51">
        <f t="shared" si="2"/>
        <v>-132.42235234750518</v>
      </c>
    </row>
    <row r="52" spans="1:11" x14ac:dyDescent="0.25">
      <c r="A52">
        <v>1.666666666666667</v>
      </c>
      <c r="B52">
        <v>17.608995508583781</v>
      </c>
      <c r="C52">
        <v>115.8362148871707</v>
      </c>
      <c r="D52">
        <f t="shared" si="0"/>
        <v>115.8362148871707</v>
      </c>
      <c r="I52">
        <f t="shared" si="1"/>
        <v>250.20660056802444</v>
      </c>
      <c r="K52">
        <f t="shared" si="2"/>
        <v>-134.37038568085376</v>
      </c>
    </row>
    <row r="53" spans="1:11" x14ac:dyDescent="0.25">
      <c r="A53">
        <v>1.7</v>
      </c>
      <c r="B53">
        <v>17.24245157017728</v>
      </c>
      <c r="C53">
        <v>119.4961512264853</v>
      </c>
      <c r="D53">
        <f t="shared" si="0"/>
        <v>119.4961512264853</v>
      </c>
      <c r="I53">
        <f t="shared" si="1"/>
        <v>252.15463390134391</v>
      </c>
      <c r="K53">
        <f t="shared" si="2"/>
        <v>-132.65848267485862</v>
      </c>
    </row>
    <row r="54" spans="1:11" x14ac:dyDescent="0.25">
      <c r="A54">
        <v>1.7333333333333329</v>
      </c>
      <c r="B54">
        <v>17.139726471225039</v>
      </c>
      <c r="C54">
        <v>121.3092131736137</v>
      </c>
      <c r="D54">
        <f t="shared" si="0"/>
        <v>121.3092131736137</v>
      </c>
      <c r="I54">
        <f t="shared" si="1"/>
        <v>254.10266723469249</v>
      </c>
      <c r="K54">
        <f t="shared" si="2"/>
        <v>-132.79345406107879</v>
      </c>
    </row>
    <row r="55" spans="1:11" x14ac:dyDescent="0.25">
      <c r="A55">
        <v>1.7666666666666671</v>
      </c>
      <c r="B55">
        <v>17.139726471225039</v>
      </c>
      <c r="C55">
        <v>121.3092131736137</v>
      </c>
      <c r="D55">
        <f t="shared" si="0"/>
        <v>121.3092131736137</v>
      </c>
      <c r="I55">
        <f t="shared" si="1"/>
        <v>256.05070056804107</v>
      </c>
      <c r="K55">
        <f t="shared" si="2"/>
        <v>-134.74148739442737</v>
      </c>
    </row>
    <row r="56" spans="1:11" x14ac:dyDescent="0.25">
      <c r="A56">
        <v>1.8</v>
      </c>
      <c r="B56">
        <v>16.86470008723208</v>
      </c>
      <c r="C56">
        <v>124.9122964953539</v>
      </c>
      <c r="D56">
        <f t="shared" si="0"/>
        <v>124.9122964953539</v>
      </c>
      <c r="I56">
        <f t="shared" si="1"/>
        <v>257.99873390136054</v>
      </c>
      <c r="K56">
        <f t="shared" si="2"/>
        <v>-133.08643740600664</v>
      </c>
    </row>
    <row r="57" spans="1:11" x14ac:dyDescent="0.25">
      <c r="A57">
        <v>1.833333333333333</v>
      </c>
      <c r="B57">
        <v>16.829020841282169</v>
      </c>
      <c r="C57">
        <v>126.7338514370831</v>
      </c>
      <c r="D57">
        <f t="shared" si="0"/>
        <v>126.7338514370831</v>
      </c>
      <c r="I57">
        <f t="shared" si="1"/>
        <v>259.94676723470911</v>
      </c>
      <c r="K57">
        <f t="shared" si="2"/>
        <v>-133.21291579762601</v>
      </c>
    </row>
    <row r="58" spans="1:11" x14ac:dyDescent="0.25">
      <c r="A58">
        <v>1.8666666666666669</v>
      </c>
      <c r="B58">
        <v>16.829020841282169</v>
      </c>
      <c r="C58">
        <v>126.7338514370831</v>
      </c>
      <c r="D58">
        <f t="shared" si="0"/>
        <v>126.7338514370831</v>
      </c>
      <c r="I58">
        <f t="shared" si="1"/>
        <v>261.89480056802859</v>
      </c>
      <c r="K58">
        <f t="shared" si="2"/>
        <v>-135.16094913094548</v>
      </c>
    </row>
    <row r="59" spans="1:11" x14ac:dyDescent="0.25">
      <c r="A59">
        <v>1.9</v>
      </c>
      <c r="B59">
        <v>16.567407674090649</v>
      </c>
      <c r="C59">
        <v>130.25807263508759</v>
      </c>
      <c r="D59">
        <f t="shared" si="0"/>
        <v>130.25807263508759</v>
      </c>
      <c r="I59">
        <f t="shared" si="1"/>
        <v>263.84283390137716</v>
      </c>
      <c r="K59">
        <f t="shared" si="2"/>
        <v>-133.58476126628958</v>
      </c>
    </row>
    <row r="60" spans="1:11" x14ac:dyDescent="0.25">
      <c r="A60">
        <v>1.9333333333333329</v>
      </c>
      <c r="B60">
        <v>16.567407674090649</v>
      </c>
      <c r="C60">
        <v>132.19380229549409</v>
      </c>
      <c r="D60">
        <f t="shared" si="0"/>
        <v>132.19380229549409</v>
      </c>
      <c r="I60">
        <f t="shared" si="1"/>
        <v>265.79086723469663</v>
      </c>
      <c r="K60">
        <f t="shared" si="2"/>
        <v>-133.59706493920254</v>
      </c>
    </row>
    <row r="61" spans="1:11" x14ac:dyDescent="0.25">
      <c r="A61">
        <v>1.966666666666667</v>
      </c>
      <c r="B61">
        <v>16.567407674090649</v>
      </c>
      <c r="C61">
        <v>132.19380229549409</v>
      </c>
      <c r="D61">
        <f t="shared" si="0"/>
        <v>132.19380229549409</v>
      </c>
      <c r="I61">
        <f t="shared" si="1"/>
        <v>267.73890056804521</v>
      </c>
      <c r="K61">
        <f t="shared" si="2"/>
        <v>-135.54509827255112</v>
      </c>
    </row>
    <row r="62" spans="1:11" x14ac:dyDescent="0.25">
      <c r="A62">
        <v>2</v>
      </c>
      <c r="B62">
        <v>16.254099884433451</v>
      </c>
      <c r="C62">
        <v>135.70923989606621</v>
      </c>
      <c r="D62">
        <f t="shared" si="0"/>
        <v>135.70923989606621</v>
      </c>
      <c r="I62">
        <f t="shared" si="1"/>
        <v>269.68693390136468</v>
      </c>
      <c r="K62">
        <f t="shared" si="2"/>
        <v>-133.97769400529847</v>
      </c>
    </row>
    <row r="63" spans="1:11" x14ac:dyDescent="0.25">
      <c r="A63">
        <v>2.0333333333333332</v>
      </c>
      <c r="B63">
        <v>16.254099884433451</v>
      </c>
      <c r="C63">
        <v>137.31032523326701</v>
      </c>
      <c r="D63">
        <f t="shared" si="0"/>
        <v>137.31032523326701</v>
      </c>
      <c r="I63">
        <f t="shared" si="1"/>
        <v>271.63496723468415</v>
      </c>
      <c r="K63">
        <f t="shared" si="2"/>
        <v>-134.32464200141715</v>
      </c>
    </row>
    <row r="64" spans="1:11" x14ac:dyDescent="0.25">
      <c r="A64">
        <v>2.066666666666666</v>
      </c>
      <c r="B64">
        <v>16.254099884433451</v>
      </c>
      <c r="C64">
        <v>137.36996681512679</v>
      </c>
      <c r="D64">
        <f t="shared" si="0"/>
        <v>137.36996681512679</v>
      </c>
      <c r="I64">
        <f t="shared" si="1"/>
        <v>273.58300056803273</v>
      </c>
      <c r="K64">
        <f t="shared" si="2"/>
        <v>-136.21303375290594</v>
      </c>
    </row>
    <row r="65" spans="1:11" x14ac:dyDescent="0.25">
      <c r="A65">
        <v>2.1</v>
      </c>
      <c r="B65">
        <v>16.254099884433451</v>
      </c>
      <c r="C65">
        <v>140.8198804477166</v>
      </c>
      <c r="D65">
        <f t="shared" si="0"/>
        <v>140.8198804477166</v>
      </c>
      <c r="I65">
        <f t="shared" si="1"/>
        <v>275.5310339013522</v>
      </c>
      <c r="K65">
        <f t="shared" si="2"/>
        <v>-134.7111534536356</v>
      </c>
    </row>
    <row r="66" spans="1:11" x14ac:dyDescent="0.25">
      <c r="A66">
        <v>2.1333333333333329</v>
      </c>
      <c r="B66">
        <v>16.254099884433451</v>
      </c>
      <c r="C66">
        <v>142.50037314733379</v>
      </c>
      <c r="D66">
        <f t="shared" si="0"/>
        <v>142.50037314733379</v>
      </c>
      <c r="I66">
        <f t="shared" si="1"/>
        <v>277.47906723470078</v>
      </c>
      <c r="K66">
        <f t="shared" si="2"/>
        <v>-134.97869408736699</v>
      </c>
    </row>
    <row r="67" spans="1:11" x14ac:dyDescent="0.25">
      <c r="A67">
        <v>2.166666666666667</v>
      </c>
      <c r="B67">
        <v>16.254099884433451</v>
      </c>
      <c r="C67">
        <v>142.6062438472585</v>
      </c>
      <c r="D67">
        <f t="shared" ref="D67:D121" si="3">IF(C67&gt;=0,C67,C67+360)</f>
        <v>142.6062438472585</v>
      </c>
      <c r="I67">
        <f t="shared" ref="I67:I130" si="4" xml:space="preserve"> 58.441 * (A67 +$F$8)  + 175.11 - $H$2</f>
        <v>279.42710056802025</v>
      </c>
      <c r="K67">
        <f t="shared" ref="K67:K77" si="5">D67-I67</f>
        <v>-136.82085672076175</v>
      </c>
    </row>
    <row r="68" spans="1:11" x14ac:dyDescent="0.25">
      <c r="A68">
        <v>2.2000000000000002</v>
      </c>
      <c r="B68">
        <v>16.35001026613244</v>
      </c>
      <c r="C68">
        <v>146.11320080121041</v>
      </c>
      <c r="D68">
        <f t="shared" si="3"/>
        <v>146.11320080121041</v>
      </c>
      <c r="I68">
        <f t="shared" si="4"/>
        <v>281.37513390133972</v>
      </c>
      <c r="K68">
        <f t="shared" si="5"/>
        <v>-135.26193310012931</v>
      </c>
    </row>
    <row r="69" spans="1:11" x14ac:dyDescent="0.25">
      <c r="A69">
        <v>2.2333333333333329</v>
      </c>
      <c r="B69">
        <v>16.395292797889461</v>
      </c>
      <c r="C69">
        <v>147.8733234019324</v>
      </c>
      <c r="D69">
        <f t="shared" si="3"/>
        <v>147.8733234019324</v>
      </c>
      <c r="I69">
        <f t="shared" si="4"/>
        <v>283.3231672346883</v>
      </c>
      <c r="K69">
        <f t="shared" si="5"/>
        <v>-135.4498438327559</v>
      </c>
    </row>
    <row r="70" spans="1:11" x14ac:dyDescent="0.25">
      <c r="A70">
        <v>2.2666666666666671</v>
      </c>
      <c r="B70">
        <v>16.395292797889461</v>
      </c>
      <c r="C70">
        <v>147.84865364453259</v>
      </c>
      <c r="D70">
        <f t="shared" si="3"/>
        <v>147.84865364453259</v>
      </c>
      <c r="I70">
        <f t="shared" si="4"/>
        <v>285.27120056803687</v>
      </c>
      <c r="K70">
        <f t="shared" si="5"/>
        <v>-137.42254692350429</v>
      </c>
    </row>
    <row r="71" spans="1:11" x14ac:dyDescent="0.25">
      <c r="A71">
        <v>2.2999999999999998</v>
      </c>
      <c r="B71">
        <v>16.456735134307731</v>
      </c>
      <c r="C71">
        <v>151.29309891735321</v>
      </c>
      <c r="D71">
        <f t="shared" si="3"/>
        <v>151.29309891735321</v>
      </c>
      <c r="I71">
        <f t="shared" si="4"/>
        <v>287.21923390138545</v>
      </c>
      <c r="K71">
        <f t="shared" si="5"/>
        <v>-135.92613498403225</v>
      </c>
    </row>
    <row r="72" spans="1:11" x14ac:dyDescent="0.25">
      <c r="A72">
        <v>2.333333333333333</v>
      </c>
      <c r="B72">
        <v>16.567407674090649</v>
      </c>
      <c r="C72">
        <v>153.1723559044184</v>
      </c>
      <c r="D72">
        <f t="shared" si="3"/>
        <v>153.1723559044184</v>
      </c>
      <c r="I72">
        <f t="shared" si="4"/>
        <v>289.16726723470492</v>
      </c>
      <c r="K72">
        <f t="shared" si="5"/>
        <v>-135.99491133028653</v>
      </c>
    </row>
    <row r="73" spans="1:11" x14ac:dyDescent="0.25">
      <c r="A73">
        <v>2.3666666666666671</v>
      </c>
      <c r="B73">
        <v>16.567407674090649</v>
      </c>
      <c r="C73">
        <v>153.1723559044184</v>
      </c>
      <c r="D73">
        <f t="shared" si="3"/>
        <v>153.1723559044184</v>
      </c>
      <c r="I73">
        <f t="shared" si="4"/>
        <v>291.1153005680244</v>
      </c>
      <c r="K73">
        <f t="shared" si="5"/>
        <v>-137.942944663606</v>
      </c>
    </row>
    <row r="74" spans="1:11" x14ac:dyDescent="0.25">
      <c r="A74">
        <v>2.4</v>
      </c>
      <c r="B74">
        <v>16.79381939329085</v>
      </c>
      <c r="C74">
        <v>156.54362063334301</v>
      </c>
      <c r="D74">
        <f t="shared" si="3"/>
        <v>156.54362063334301</v>
      </c>
      <c r="I74">
        <f t="shared" si="4"/>
        <v>293.06333390137297</v>
      </c>
      <c r="K74">
        <f t="shared" si="5"/>
        <v>-136.51971326802996</v>
      </c>
    </row>
    <row r="75" spans="1:11" x14ac:dyDescent="0.25">
      <c r="A75">
        <v>2.4333333333333331</v>
      </c>
      <c r="B75">
        <v>16.937572932940341</v>
      </c>
      <c r="C75">
        <v>158.2627394719886</v>
      </c>
      <c r="D75">
        <f t="shared" si="3"/>
        <v>158.2627394719886</v>
      </c>
      <c r="I75">
        <f t="shared" si="4"/>
        <v>295.01136723469244</v>
      </c>
      <c r="K75">
        <f t="shared" si="5"/>
        <v>-136.74862776270385</v>
      </c>
    </row>
    <row r="76" spans="1:11" x14ac:dyDescent="0.25">
      <c r="A76">
        <v>2.4666666666666668</v>
      </c>
      <c r="B76">
        <v>16.937572932940341</v>
      </c>
      <c r="C76">
        <v>158.2627394719886</v>
      </c>
      <c r="D76">
        <f t="shared" si="3"/>
        <v>158.2627394719886</v>
      </c>
      <c r="I76">
        <f t="shared" si="4"/>
        <v>296.95940056804102</v>
      </c>
      <c r="K76">
        <f t="shared" si="5"/>
        <v>-138.69666109605242</v>
      </c>
    </row>
    <row r="77" spans="1:11" x14ac:dyDescent="0.25">
      <c r="A77">
        <v>2.5</v>
      </c>
      <c r="B77">
        <v>17.295638595502769</v>
      </c>
      <c r="C77">
        <v>161.95891185171979</v>
      </c>
      <c r="D77">
        <f t="shared" si="3"/>
        <v>161.95891185171979</v>
      </c>
      <c r="I77">
        <f t="shared" si="4"/>
        <v>298.90743390136049</v>
      </c>
      <c r="K77">
        <f t="shared" si="5"/>
        <v>-136.9485220496407</v>
      </c>
    </row>
    <row r="78" spans="1:11" x14ac:dyDescent="0.25">
      <c r="A78">
        <v>2.5333333333333332</v>
      </c>
      <c r="I78">
        <f t="shared" si="4"/>
        <v>300.85546723467996</v>
      </c>
    </row>
    <row r="79" spans="1:11" x14ac:dyDescent="0.25">
      <c r="A79">
        <v>2.566666666666666</v>
      </c>
      <c r="I79">
        <f t="shared" si="4"/>
        <v>302.80350056802854</v>
      </c>
    </row>
    <row r="80" spans="1:11" x14ac:dyDescent="0.25">
      <c r="A80">
        <v>2.6</v>
      </c>
      <c r="I80">
        <f t="shared" si="4"/>
        <v>304.75153390134801</v>
      </c>
    </row>
    <row r="81" spans="1:11" x14ac:dyDescent="0.25">
      <c r="A81">
        <v>2.6333333333333329</v>
      </c>
      <c r="I81">
        <f t="shared" si="4"/>
        <v>306.69956723469659</v>
      </c>
    </row>
    <row r="82" spans="1:11" x14ac:dyDescent="0.25">
      <c r="A82">
        <v>2.666666666666667</v>
      </c>
      <c r="I82">
        <f t="shared" si="4"/>
        <v>308.64760056801606</v>
      </c>
    </row>
    <row r="83" spans="1:11" x14ac:dyDescent="0.25">
      <c r="A83">
        <v>2.7</v>
      </c>
      <c r="I83">
        <f t="shared" si="4"/>
        <v>310.59563390136464</v>
      </c>
    </row>
    <row r="84" spans="1:11" x14ac:dyDescent="0.25">
      <c r="A84">
        <v>2.7333333333333329</v>
      </c>
      <c r="B84">
        <v>18.69140653262026</v>
      </c>
      <c r="C84">
        <v>174.3004545447323</v>
      </c>
      <c r="D84">
        <f t="shared" si="3"/>
        <v>174.3004545447323</v>
      </c>
      <c r="I84">
        <f t="shared" si="4"/>
        <v>312.54366723468411</v>
      </c>
      <c r="K84">
        <f t="shared" ref="K84:K121" si="6">D84-I84</f>
        <v>-138.2432126899518</v>
      </c>
    </row>
    <row r="85" spans="1:11" x14ac:dyDescent="0.25">
      <c r="A85">
        <v>2.7666666666666671</v>
      </c>
      <c r="B85">
        <v>18.69140653262026</v>
      </c>
      <c r="C85">
        <v>174.25617288792131</v>
      </c>
      <c r="D85">
        <f t="shared" si="3"/>
        <v>174.25617288792131</v>
      </c>
      <c r="I85">
        <f t="shared" si="4"/>
        <v>314.49170056803268</v>
      </c>
      <c r="K85">
        <f t="shared" si="6"/>
        <v>-140.23552768011137</v>
      </c>
    </row>
    <row r="86" spans="1:11" x14ac:dyDescent="0.25">
      <c r="A86">
        <v>2.8</v>
      </c>
      <c r="B86">
        <v>19.256096463557551</v>
      </c>
      <c r="C86">
        <v>178.05409592266039</v>
      </c>
      <c r="D86">
        <f t="shared" si="3"/>
        <v>178.05409592266039</v>
      </c>
      <c r="I86">
        <f t="shared" si="4"/>
        <v>316.43973390138126</v>
      </c>
      <c r="K86">
        <f t="shared" si="6"/>
        <v>-138.38563797872087</v>
      </c>
    </row>
    <row r="87" spans="1:11" x14ac:dyDescent="0.25">
      <c r="A87">
        <v>2.833333333333333</v>
      </c>
      <c r="B87">
        <v>19.256096463557551</v>
      </c>
      <c r="C87">
        <v>179.49644748104311</v>
      </c>
      <c r="D87">
        <f t="shared" si="3"/>
        <v>179.49644748104311</v>
      </c>
      <c r="I87">
        <f t="shared" si="4"/>
        <v>318.38776723470073</v>
      </c>
      <c r="K87">
        <f t="shared" si="6"/>
        <v>-138.89131975365763</v>
      </c>
    </row>
    <row r="88" spans="1:11" x14ac:dyDescent="0.25">
      <c r="A88">
        <v>2.8666666666666671</v>
      </c>
      <c r="B88">
        <v>19.256096463557551</v>
      </c>
      <c r="C88">
        <v>179.49644748104311</v>
      </c>
      <c r="D88">
        <f t="shared" si="3"/>
        <v>179.49644748104311</v>
      </c>
      <c r="I88">
        <f t="shared" si="4"/>
        <v>320.33580056804931</v>
      </c>
      <c r="K88">
        <f t="shared" si="6"/>
        <v>-140.8393530870062</v>
      </c>
    </row>
    <row r="89" spans="1:11" x14ac:dyDescent="0.25">
      <c r="A89">
        <v>2.9</v>
      </c>
      <c r="B89">
        <v>19.957481873990218</v>
      </c>
      <c r="C89">
        <v>-177.0762425452821</v>
      </c>
      <c r="D89">
        <f t="shared" si="3"/>
        <v>182.9237574547179</v>
      </c>
      <c r="I89">
        <f t="shared" si="4"/>
        <v>322.28383390136878</v>
      </c>
      <c r="K89">
        <f t="shared" si="6"/>
        <v>-139.36007644665088</v>
      </c>
    </row>
    <row r="90" spans="1:11" x14ac:dyDescent="0.25">
      <c r="A90">
        <v>2.9333333333333331</v>
      </c>
      <c r="B90">
        <v>20.366424879610879</v>
      </c>
      <c r="C90">
        <v>-174.765619661758</v>
      </c>
      <c r="D90">
        <f t="shared" si="3"/>
        <v>185.234380338242</v>
      </c>
      <c r="I90">
        <f t="shared" si="4"/>
        <v>324.23186723468825</v>
      </c>
      <c r="K90">
        <f t="shared" si="6"/>
        <v>-138.99748689644625</v>
      </c>
    </row>
    <row r="91" spans="1:11" x14ac:dyDescent="0.25">
      <c r="A91">
        <v>2.9666666666666668</v>
      </c>
      <c r="B91">
        <v>20.366424879610879</v>
      </c>
      <c r="C91">
        <v>-174.79224895762741</v>
      </c>
      <c r="D91">
        <f t="shared" si="3"/>
        <v>185.20775104237259</v>
      </c>
      <c r="I91">
        <f t="shared" si="4"/>
        <v>326.17990056803683</v>
      </c>
      <c r="K91">
        <f t="shared" si="6"/>
        <v>-140.97214952566424</v>
      </c>
    </row>
    <row r="92" spans="1:11" x14ac:dyDescent="0.25">
      <c r="A92">
        <v>3</v>
      </c>
      <c r="B92">
        <v>20.926489654448051</v>
      </c>
      <c r="C92">
        <v>-171.51342804242731</v>
      </c>
      <c r="D92">
        <f t="shared" si="3"/>
        <v>188.48657195757269</v>
      </c>
      <c r="I92">
        <f t="shared" si="4"/>
        <v>328.1279339013563</v>
      </c>
      <c r="K92">
        <f t="shared" si="6"/>
        <v>-139.64136194378361</v>
      </c>
    </row>
    <row r="93" spans="1:11" x14ac:dyDescent="0.25">
      <c r="A93">
        <v>3.0333333333333332</v>
      </c>
      <c r="B93">
        <v>21.20626149379293</v>
      </c>
      <c r="C93">
        <v>-169.94268498122921</v>
      </c>
      <c r="D93">
        <f t="shared" si="3"/>
        <v>190.05731501877079</v>
      </c>
      <c r="I93">
        <f t="shared" si="4"/>
        <v>330.07596723470488</v>
      </c>
      <c r="K93">
        <f t="shared" si="6"/>
        <v>-140.01865221593408</v>
      </c>
    </row>
    <row r="94" spans="1:11" x14ac:dyDescent="0.25">
      <c r="A94">
        <v>3.066666666666666</v>
      </c>
      <c r="B94">
        <v>21.20626149379293</v>
      </c>
      <c r="C94">
        <v>-169.94268498122921</v>
      </c>
      <c r="D94">
        <f t="shared" si="3"/>
        <v>190.05731501877079</v>
      </c>
      <c r="I94">
        <f t="shared" si="4"/>
        <v>332.02400056802435</v>
      </c>
      <c r="K94">
        <f t="shared" si="6"/>
        <v>-141.96668554925355</v>
      </c>
    </row>
    <row r="95" spans="1:11" x14ac:dyDescent="0.25">
      <c r="A95">
        <v>3.1</v>
      </c>
      <c r="B95">
        <v>21.734536651637331</v>
      </c>
      <c r="C95">
        <v>-166.14643232418959</v>
      </c>
      <c r="D95">
        <f t="shared" si="3"/>
        <v>193.85356767581041</v>
      </c>
      <c r="I95">
        <f t="shared" si="4"/>
        <v>333.97203390134382</v>
      </c>
      <c r="K95">
        <f t="shared" si="6"/>
        <v>-140.11846622553341</v>
      </c>
    </row>
    <row r="96" spans="1:11" x14ac:dyDescent="0.25">
      <c r="A96">
        <v>3.1333333333333329</v>
      </c>
      <c r="B96">
        <v>22.080978577652321</v>
      </c>
      <c r="C96">
        <v>-164.43727459649989</v>
      </c>
      <c r="D96">
        <f t="shared" si="3"/>
        <v>195.56272540350011</v>
      </c>
      <c r="I96">
        <f t="shared" si="4"/>
        <v>335.9200672346924</v>
      </c>
      <c r="K96">
        <f t="shared" si="6"/>
        <v>-140.35734183119229</v>
      </c>
    </row>
    <row r="97" spans="1:11" x14ac:dyDescent="0.25">
      <c r="A97">
        <v>3.166666666666667</v>
      </c>
      <c r="B97">
        <v>22.080978577652321</v>
      </c>
      <c r="C97">
        <v>-164.41456303328721</v>
      </c>
      <c r="D97">
        <f t="shared" si="3"/>
        <v>195.58543696671279</v>
      </c>
      <c r="I97">
        <f t="shared" si="4"/>
        <v>337.86810056801187</v>
      </c>
      <c r="K97">
        <f t="shared" si="6"/>
        <v>-142.28266360129908</v>
      </c>
    </row>
    <row r="98" spans="1:11" x14ac:dyDescent="0.25">
      <c r="A98">
        <v>3.2</v>
      </c>
      <c r="B98">
        <v>22.69157878045095</v>
      </c>
      <c r="C98">
        <v>-160.43918281934671</v>
      </c>
      <c r="D98">
        <f t="shared" si="3"/>
        <v>199.56081718065329</v>
      </c>
      <c r="I98">
        <f t="shared" si="4"/>
        <v>339.81613390136044</v>
      </c>
      <c r="K98">
        <f t="shared" si="6"/>
        <v>-140.25531672070716</v>
      </c>
    </row>
    <row r="99" spans="1:11" x14ac:dyDescent="0.25">
      <c r="A99">
        <v>3.2333333333333329</v>
      </c>
      <c r="B99">
        <v>23.101270875843511</v>
      </c>
      <c r="C99">
        <v>-158.69570940952329</v>
      </c>
      <c r="D99">
        <f t="shared" si="3"/>
        <v>201.30429059047671</v>
      </c>
      <c r="I99">
        <f t="shared" si="4"/>
        <v>341.76416723467992</v>
      </c>
      <c r="K99">
        <f t="shared" si="6"/>
        <v>-140.45987664420321</v>
      </c>
    </row>
    <row r="100" spans="1:11" x14ac:dyDescent="0.25">
      <c r="A100">
        <v>3.2666666666666671</v>
      </c>
      <c r="B100">
        <v>23.101270875843511</v>
      </c>
      <c r="C100">
        <v>-158.66876090810501</v>
      </c>
      <c r="D100">
        <f t="shared" si="3"/>
        <v>201.33123909189499</v>
      </c>
      <c r="I100">
        <f t="shared" si="4"/>
        <v>343.71220056802849</v>
      </c>
      <c r="K100">
        <f t="shared" si="6"/>
        <v>-142.38096147613351</v>
      </c>
    </row>
    <row r="101" spans="1:11" x14ac:dyDescent="0.25">
      <c r="A101">
        <v>3.3</v>
      </c>
      <c r="B101">
        <v>23.73432358619495</v>
      </c>
      <c r="C101">
        <v>-155.12457974909981</v>
      </c>
      <c r="D101">
        <f t="shared" si="3"/>
        <v>204.87542025090019</v>
      </c>
      <c r="I101">
        <f t="shared" si="4"/>
        <v>345.66023390137707</v>
      </c>
      <c r="K101">
        <f t="shared" si="6"/>
        <v>-140.78481365047688</v>
      </c>
    </row>
    <row r="102" spans="1:11" x14ac:dyDescent="0.25">
      <c r="A102">
        <v>3.333333333333333</v>
      </c>
      <c r="B102">
        <v>24.220447365632509</v>
      </c>
      <c r="C102">
        <v>-153.0194495725469</v>
      </c>
      <c r="D102">
        <f t="shared" si="3"/>
        <v>206.9805504274531</v>
      </c>
      <c r="I102">
        <f t="shared" si="4"/>
        <v>347.60826723469654</v>
      </c>
      <c r="K102">
        <f t="shared" si="6"/>
        <v>-140.62771680724344</v>
      </c>
    </row>
    <row r="103" spans="1:11" x14ac:dyDescent="0.25">
      <c r="A103">
        <v>3.3666666666666671</v>
      </c>
      <c r="B103">
        <v>24.220447365632509</v>
      </c>
      <c r="C103">
        <v>-153.0194495725469</v>
      </c>
      <c r="D103">
        <f t="shared" si="3"/>
        <v>206.9805504274531</v>
      </c>
      <c r="I103">
        <f t="shared" si="4"/>
        <v>349.55630056804512</v>
      </c>
      <c r="K103">
        <f t="shared" si="6"/>
        <v>-142.57575014059202</v>
      </c>
    </row>
    <row r="104" spans="1:11" x14ac:dyDescent="0.25">
      <c r="A104">
        <v>3.4</v>
      </c>
      <c r="B104">
        <v>25.04867499403634</v>
      </c>
      <c r="C104">
        <v>-149.68415384259441</v>
      </c>
      <c r="D104">
        <f t="shared" si="3"/>
        <v>210.31584615740559</v>
      </c>
      <c r="I104">
        <f t="shared" si="4"/>
        <v>351.50433390136459</v>
      </c>
      <c r="K104">
        <f t="shared" si="6"/>
        <v>-141.188487743959</v>
      </c>
    </row>
    <row r="105" spans="1:11" x14ac:dyDescent="0.25">
      <c r="A105">
        <v>3.4333333333333331</v>
      </c>
      <c r="B105">
        <v>25.284804537550599</v>
      </c>
      <c r="C105">
        <v>-147.78087392118849</v>
      </c>
      <c r="D105">
        <f t="shared" si="3"/>
        <v>212.21912607881151</v>
      </c>
      <c r="I105">
        <f t="shared" si="4"/>
        <v>353.45236723471317</v>
      </c>
      <c r="K105">
        <f t="shared" si="6"/>
        <v>-141.23324115590165</v>
      </c>
    </row>
    <row r="106" spans="1:11" x14ac:dyDescent="0.25">
      <c r="A106">
        <v>3.4666666666666668</v>
      </c>
      <c r="B106">
        <v>25.284804537550599</v>
      </c>
      <c r="C106">
        <v>-147.78087392118849</v>
      </c>
      <c r="D106">
        <f t="shared" si="3"/>
        <v>212.21912607881151</v>
      </c>
      <c r="I106">
        <f t="shared" si="4"/>
        <v>355.40040056803264</v>
      </c>
      <c r="K106">
        <f t="shared" si="6"/>
        <v>-143.18127448922112</v>
      </c>
    </row>
    <row r="107" spans="1:11" x14ac:dyDescent="0.25">
      <c r="A107">
        <v>3.5</v>
      </c>
      <c r="B107">
        <v>25.947455147478909</v>
      </c>
      <c r="C107">
        <v>-143.52836959498771</v>
      </c>
      <c r="D107">
        <f t="shared" si="3"/>
        <v>216.47163040501229</v>
      </c>
      <c r="I107">
        <f t="shared" si="4"/>
        <v>357.34843390135211</v>
      </c>
      <c r="K107">
        <f t="shared" si="6"/>
        <v>-140.87680349633982</v>
      </c>
    </row>
    <row r="108" spans="1:11" x14ac:dyDescent="0.25">
      <c r="A108">
        <v>3.5333333333333332</v>
      </c>
      <c r="B108">
        <v>26.513794842708059</v>
      </c>
      <c r="C108">
        <v>-142.24983054839541</v>
      </c>
      <c r="D108">
        <f t="shared" si="3"/>
        <v>217.75016945160459</v>
      </c>
      <c r="I108">
        <f t="shared" si="4"/>
        <v>359.29646723470069</v>
      </c>
      <c r="K108">
        <f t="shared" si="6"/>
        <v>-141.54629778309609</v>
      </c>
    </row>
    <row r="109" spans="1:11" x14ac:dyDescent="0.25">
      <c r="A109">
        <v>3.566666666666666</v>
      </c>
      <c r="B109">
        <v>26.513794842708059</v>
      </c>
      <c r="C109">
        <v>-142.2699398577904</v>
      </c>
      <c r="D109">
        <f t="shared" si="3"/>
        <v>217.7300601422096</v>
      </c>
      <c r="I109">
        <f t="shared" si="4"/>
        <v>361.24450056802016</v>
      </c>
      <c r="K109">
        <f t="shared" si="6"/>
        <v>-143.51444042581056</v>
      </c>
    </row>
    <row r="110" spans="1:11" x14ac:dyDescent="0.25">
      <c r="A110">
        <v>3.6</v>
      </c>
      <c r="B110">
        <v>27.417584707300161</v>
      </c>
      <c r="C110">
        <v>-138.47141918263361</v>
      </c>
      <c r="D110">
        <f t="shared" si="3"/>
        <v>221.52858081736639</v>
      </c>
      <c r="I110">
        <f t="shared" si="4"/>
        <v>363.19253390136873</v>
      </c>
      <c r="K110">
        <f t="shared" si="6"/>
        <v>-141.66395308400234</v>
      </c>
    </row>
    <row r="111" spans="1:11" x14ac:dyDescent="0.25">
      <c r="A111">
        <v>3.6333333333333329</v>
      </c>
      <c r="B111">
        <v>27.69764753819987</v>
      </c>
      <c r="C111">
        <v>-136.36325804830801</v>
      </c>
      <c r="D111">
        <f t="shared" si="3"/>
        <v>223.63674195169199</v>
      </c>
      <c r="I111">
        <f t="shared" si="4"/>
        <v>365.14056723468821</v>
      </c>
      <c r="K111">
        <f t="shared" si="6"/>
        <v>-141.50382528299622</v>
      </c>
    </row>
    <row r="112" spans="1:11" x14ac:dyDescent="0.25">
      <c r="A112">
        <v>3.666666666666667</v>
      </c>
      <c r="B112">
        <v>27.69764753819987</v>
      </c>
      <c r="C112">
        <v>-136.36325804830801</v>
      </c>
      <c r="D112">
        <f t="shared" si="3"/>
        <v>223.63674195169199</v>
      </c>
      <c r="I112">
        <f t="shared" si="4"/>
        <v>367.08860056800768</v>
      </c>
      <c r="K112">
        <f t="shared" si="6"/>
        <v>-143.45185861631569</v>
      </c>
    </row>
    <row r="113" spans="1:11" x14ac:dyDescent="0.25">
      <c r="A113">
        <v>3.7</v>
      </c>
      <c r="B113">
        <v>28.59074700060372</v>
      </c>
      <c r="C113">
        <v>-132.89623367016111</v>
      </c>
      <c r="D113">
        <f t="shared" si="3"/>
        <v>227.10376632983889</v>
      </c>
      <c r="I113">
        <f t="shared" si="4"/>
        <v>369.03663390135625</v>
      </c>
      <c r="K113">
        <f t="shared" si="6"/>
        <v>-141.93286757151736</v>
      </c>
    </row>
    <row r="114" spans="1:11" x14ac:dyDescent="0.25">
      <c r="A114">
        <v>3.7333333333333329</v>
      </c>
      <c r="B114">
        <v>28.894129500907731</v>
      </c>
      <c r="C114">
        <v>-130.5001465438948</v>
      </c>
      <c r="D114">
        <f t="shared" si="3"/>
        <v>229.4998534561052</v>
      </c>
      <c r="I114">
        <f t="shared" si="4"/>
        <v>370.98466723467573</v>
      </c>
      <c r="K114">
        <f t="shared" si="6"/>
        <v>-141.48481377857053</v>
      </c>
    </row>
    <row r="115" spans="1:11" x14ac:dyDescent="0.25">
      <c r="A115">
        <v>3.7666666666666671</v>
      </c>
      <c r="B115">
        <v>28.894129500907731</v>
      </c>
      <c r="C115">
        <v>-130.47656162473811</v>
      </c>
      <c r="D115">
        <f t="shared" si="3"/>
        <v>229.52343837526189</v>
      </c>
      <c r="I115">
        <f t="shared" si="4"/>
        <v>372.93270056805341</v>
      </c>
      <c r="K115">
        <f t="shared" si="6"/>
        <v>-143.40926219279152</v>
      </c>
    </row>
    <row r="116" spans="1:11" x14ac:dyDescent="0.25">
      <c r="A116">
        <v>3.8</v>
      </c>
      <c r="B116">
        <v>29.740343611596622</v>
      </c>
      <c r="C116">
        <v>-126.5628407217129</v>
      </c>
      <c r="D116">
        <f t="shared" si="3"/>
        <v>233.43715927828708</v>
      </c>
      <c r="I116">
        <f t="shared" si="4"/>
        <v>374.88073390137288</v>
      </c>
      <c r="K116">
        <f t="shared" si="6"/>
        <v>-141.44357462308579</v>
      </c>
    </row>
    <row r="117" spans="1:11" x14ac:dyDescent="0.25">
      <c r="A117">
        <v>3.833333333333333</v>
      </c>
      <c r="B117">
        <v>30.10998732046491</v>
      </c>
      <c r="C117">
        <v>-123.994181179317</v>
      </c>
      <c r="D117">
        <f t="shared" si="3"/>
        <v>236.005818820683</v>
      </c>
      <c r="I117">
        <f t="shared" si="4"/>
        <v>376.82876723469235</v>
      </c>
      <c r="K117">
        <f t="shared" si="6"/>
        <v>-140.82294841400935</v>
      </c>
    </row>
    <row r="118" spans="1:11" x14ac:dyDescent="0.25">
      <c r="A118">
        <v>3.8666666666666671</v>
      </c>
      <c r="B118">
        <v>30.10998732046491</v>
      </c>
      <c r="C118">
        <v>-123.9791541225529</v>
      </c>
      <c r="D118">
        <f t="shared" si="3"/>
        <v>236.0208458774471</v>
      </c>
      <c r="I118">
        <f t="shared" si="4"/>
        <v>378.77680056804093</v>
      </c>
      <c r="K118">
        <f t="shared" si="6"/>
        <v>-142.75595469059382</v>
      </c>
    </row>
    <row r="119" spans="1:11" x14ac:dyDescent="0.25">
      <c r="A119">
        <v>3.9</v>
      </c>
      <c r="B119">
        <v>30.934996441074681</v>
      </c>
      <c r="C119">
        <v>-120.1586801713967</v>
      </c>
      <c r="D119">
        <f t="shared" si="3"/>
        <v>239.8413198286033</v>
      </c>
      <c r="I119">
        <f t="shared" si="4"/>
        <v>380.7248339013604</v>
      </c>
      <c r="K119">
        <f t="shared" si="6"/>
        <v>-140.88351407275709</v>
      </c>
    </row>
    <row r="120" spans="1:11" x14ac:dyDescent="0.25">
      <c r="A120">
        <v>3.9333333333333331</v>
      </c>
      <c r="B120">
        <v>31.15215889638252</v>
      </c>
      <c r="C120">
        <v>-116.7655510638573</v>
      </c>
      <c r="D120">
        <f t="shared" si="3"/>
        <v>243.23444893614271</v>
      </c>
      <c r="I120">
        <f t="shared" si="4"/>
        <v>382.67286723470897</v>
      </c>
      <c r="K120">
        <f t="shared" si="6"/>
        <v>-139.43841829856626</v>
      </c>
    </row>
    <row r="121" spans="1:11" x14ac:dyDescent="0.25">
      <c r="A121">
        <v>3.9666666666666668</v>
      </c>
      <c r="B121">
        <v>31.15215889638252</v>
      </c>
      <c r="C121">
        <v>-116.7655510638573</v>
      </c>
      <c r="D121">
        <f t="shared" si="3"/>
        <v>243.23444893614271</v>
      </c>
      <c r="I121">
        <f t="shared" si="4"/>
        <v>384.62090056802845</v>
      </c>
      <c r="K121">
        <f t="shared" si="6"/>
        <v>-141.38645163188573</v>
      </c>
    </row>
    <row r="122" spans="1:11" x14ac:dyDescent="0.25">
      <c r="A122">
        <v>4</v>
      </c>
      <c r="I122">
        <f t="shared" si="4"/>
        <v>386.56893390137702</v>
      </c>
    </row>
    <row r="123" spans="1:11" x14ac:dyDescent="0.25">
      <c r="A123">
        <v>4.0333333333333332</v>
      </c>
      <c r="I123">
        <f t="shared" si="4"/>
        <v>388.51696723469649</v>
      </c>
    </row>
    <row r="124" spans="1:11" x14ac:dyDescent="0.25">
      <c r="A124">
        <v>4.0666666666666664</v>
      </c>
      <c r="I124">
        <f t="shared" si="4"/>
        <v>390.46500056801597</v>
      </c>
    </row>
    <row r="125" spans="1:11" x14ac:dyDescent="0.25">
      <c r="A125">
        <v>4.0999999999999996</v>
      </c>
      <c r="I125">
        <f t="shared" si="4"/>
        <v>392.41303390136454</v>
      </c>
    </row>
    <row r="126" spans="1:11" x14ac:dyDescent="0.25">
      <c r="A126">
        <v>4.1333333333333329</v>
      </c>
      <c r="I126">
        <f t="shared" si="4"/>
        <v>394.36106723468401</v>
      </c>
    </row>
    <row r="127" spans="1:11" x14ac:dyDescent="0.25">
      <c r="A127">
        <v>4.166666666666667</v>
      </c>
      <c r="I127">
        <f t="shared" si="4"/>
        <v>396.30910056803259</v>
      </c>
    </row>
    <row r="128" spans="1:11" x14ac:dyDescent="0.25">
      <c r="A128">
        <v>4.2</v>
      </c>
      <c r="I128">
        <f t="shared" si="4"/>
        <v>398.25713390135206</v>
      </c>
    </row>
    <row r="129" spans="1:9" x14ac:dyDescent="0.25">
      <c r="A129">
        <v>4.2333333333333334</v>
      </c>
      <c r="I129">
        <f t="shared" si="4"/>
        <v>400.20516723467153</v>
      </c>
    </row>
    <row r="130" spans="1:9" x14ac:dyDescent="0.25">
      <c r="A130">
        <v>4.2666666666666666</v>
      </c>
      <c r="I130">
        <f t="shared" si="4"/>
        <v>402.15320056804921</v>
      </c>
    </row>
    <row r="131" spans="1:9" x14ac:dyDescent="0.25">
      <c r="A131">
        <v>4.3</v>
      </c>
      <c r="I131">
        <f t="shared" ref="I131:I194" si="7" xml:space="preserve"> 58.441 * (A131 +$F$8)  + 175.11 - $H$2</f>
        <v>404.10123390136869</v>
      </c>
    </row>
    <row r="132" spans="1:9" x14ac:dyDescent="0.25">
      <c r="A132">
        <v>4.333333333333333</v>
      </c>
      <c r="I132">
        <f t="shared" si="7"/>
        <v>406.04926723471726</v>
      </c>
    </row>
    <row r="133" spans="1:9" x14ac:dyDescent="0.25">
      <c r="A133">
        <v>4.3666666666666663</v>
      </c>
      <c r="I133">
        <f t="shared" si="7"/>
        <v>407.99730056803674</v>
      </c>
    </row>
    <row r="134" spans="1:9" x14ac:dyDescent="0.25">
      <c r="A134">
        <v>4.4000000000000004</v>
      </c>
      <c r="I134">
        <f t="shared" si="7"/>
        <v>409.94533390135621</v>
      </c>
    </row>
    <row r="135" spans="1:9" x14ac:dyDescent="0.25">
      <c r="A135">
        <v>4.4333333333333336</v>
      </c>
      <c r="I135">
        <f t="shared" si="7"/>
        <v>411.89336723470478</v>
      </c>
    </row>
    <row r="136" spans="1:9" x14ac:dyDescent="0.25">
      <c r="A136">
        <v>4.4666666666666668</v>
      </c>
      <c r="I136">
        <f t="shared" si="7"/>
        <v>413.84140056802426</v>
      </c>
    </row>
    <row r="137" spans="1:9" x14ac:dyDescent="0.25">
      <c r="A137">
        <v>4.5</v>
      </c>
      <c r="I137">
        <f t="shared" si="7"/>
        <v>415.78943390137283</v>
      </c>
    </row>
    <row r="138" spans="1:9" x14ac:dyDescent="0.25">
      <c r="A138">
        <v>4.5333333333333332</v>
      </c>
      <c r="I138">
        <f t="shared" si="7"/>
        <v>417.7374672346923</v>
      </c>
    </row>
    <row r="139" spans="1:9" x14ac:dyDescent="0.25">
      <c r="A139">
        <v>4.5666666666666664</v>
      </c>
      <c r="I139">
        <f t="shared" si="7"/>
        <v>419.68550056801178</v>
      </c>
    </row>
    <row r="140" spans="1:9" x14ac:dyDescent="0.25">
      <c r="A140">
        <v>4.5999999999999996</v>
      </c>
      <c r="I140">
        <f t="shared" si="7"/>
        <v>421.63353390136035</v>
      </c>
    </row>
    <row r="141" spans="1:9" x14ac:dyDescent="0.25">
      <c r="A141">
        <v>4.6333333333333329</v>
      </c>
      <c r="I141">
        <f t="shared" si="7"/>
        <v>423.58156723467982</v>
      </c>
    </row>
    <row r="142" spans="1:9" x14ac:dyDescent="0.25">
      <c r="A142">
        <v>4.666666666666667</v>
      </c>
      <c r="I142">
        <f t="shared" si="7"/>
        <v>425.5296005680284</v>
      </c>
    </row>
    <row r="143" spans="1:9" x14ac:dyDescent="0.25">
      <c r="A143">
        <v>4.7</v>
      </c>
      <c r="I143">
        <f t="shared" si="7"/>
        <v>427.47763390134787</v>
      </c>
    </row>
    <row r="144" spans="1:9" x14ac:dyDescent="0.25">
      <c r="A144">
        <v>4.7333333333333334</v>
      </c>
      <c r="I144">
        <f t="shared" si="7"/>
        <v>429.42566723469645</v>
      </c>
    </row>
    <row r="145" spans="1:9" x14ac:dyDescent="0.25">
      <c r="A145">
        <v>4.7666666666666666</v>
      </c>
      <c r="I145">
        <f t="shared" si="7"/>
        <v>431.37370056804502</v>
      </c>
    </row>
    <row r="146" spans="1:9" x14ac:dyDescent="0.25">
      <c r="A146">
        <v>4.8</v>
      </c>
      <c r="I146">
        <f t="shared" si="7"/>
        <v>433.3217339013645</v>
      </c>
    </row>
    <row r="147" spans="1:9" x14ac:dyDescent="0.25">
      <c r="A147">
        <v>4.833333333333333</v>
      </c>
      <c r="I147">
        <f t="shared" si="7"/>
        <v>435.26976723471307</v>
      </c>
    </row>
    <row r="148" spans="1:9" x14ac:dyDescent="0.25">
      <c r="A148">
        <v>4.8666666666666663</v>
      </c>
      <c r="I148">
        <f t="shared" si="7"/>
        <v>437.21780056803254</v>
      </c>
    </row>
    <row r="149" spans="1:9" x14ac:dyDescent="0.25">
      <c r="A149">
        <v>4.9000000000000004</v>
      </c>
      <c r="I149">
        <f t="shared" si="7"/>
        <v>439.16583390138112</v>
      </c>
    </row>
    <row r="150" spans="1:9" x14ac:dyDescent="0.25">
      <c r="A150">
        <v>4.9333333333333336</v>
      </c>
      <c r="I150">
        <f t="shared" si="7"/>
        <v>441.11386723470059</v>
      </c>
    </row>
    <row r="151" spans="1:9" x14ac:dyDescent="0.25">
      <c r="A151">
        <v>4.9666666666666668</v>
      </c>
      <c r="I151">
        <f t="shared" si="7"/>
        <v>443.06190056802006</v>
      </c>
    </row>
    <row r="152" spans="1:9" x14ac:dyDescent="0.25">
      <c r="A152">
        <v>5</v>
      </c>
      <c r="I152">
        <f t="shared" si="7"/>
        <v>445.00993390136864</v>
      </c>
    </row>
    <row r="153" spans="1:9" x14ac:dyDescent="0.25">
      <c r="A153">
        <v>5.0333333333333332</v>
      </c>
      <c r="I153">
        <f t="shared" si="7"/>
        <v>446.95796723468811</v>
      </c>
    </row>
    <row r="154" spans="1:9" x14ac:dyDescent="0.25">
      <c r="A154">
        <v>5.0666666666666664</v>
      </c>
      <c r="I154">
        <f t="shared" si="7"/>
        <v>448.90600056803669</v>
      </c>
    </row>
    <row r="155" spans="1:9" x14ac:dyDescent="0.25">
      <c r="A155">
        <v>5.0999999999999996</v>
      </c>
      <c r="I155">
        <f t="shared" si="7"/>
        <v>450.85403390135616</v>
      </c>
    </row>
    <row r="156" spans="1:9" x14ac:dyDescent="0.25">
      <c r="A156">
        <v>5.1333333333333329</v>
      </c>
      <c r="I156">
        <f t="shared" si="7"/>
        <v>452.80206723467563</v>
      </c>
    </row>
    <row r="157" spans="1:9" x14ac:dyDescent="0.25">
      <c r="A157">
        <v>5.166666666666667</v>
      </c>
      <c r="I157">
        <f t="shared" si="7"/>
        <v>454.75010056802421</v>
      </c>
    </row>
    <row r="158" spans="1:9" x14ac:dyDescent="0.25">
      <c r="A158">
        <v>5.2</v>
      </c>
      <c r="I158">
        <f t="shared" si="7"/>
        <v>456.69813390134368</v>
      </c>
    </row>
    <row r="159" spans="1:9" x14ac:dyDescent="0.25">
      <c r="A159">
        <v>5.2333333333333334</v>
      </c>
      <c r="I159">
        <f t="shared" si="7"/>
        <v>458.64616723469226</v>
      </c>
    </row>
    <row r="160" spans="1:9" x14ac:dyDescent="0.25">
      <c r="A160">
        <v>5.2666666666666666</v>
      </c>
      <c r="I160">
        <f t="shared" si="7"/>
        <v>460.59420056804083</v>
      </c>
    </row>
    <row r="161" spans="1:11" x14ac:dyDescent="0.25">
      <c r="A161">
        <v>5.3</v>
      </c>
      <c r="I161">
        <f t="shared" si="7"/>
        <v>462.54223390136031</v>
      </c>
    </row>
    <row r="162" spans="1:11" x14ac:dyDescent="0.25">
      <c r="A162">
        <v>5.333333333333333</v>
      </c>
      <c r="I162">
        <f t="shared" si="7"/>
        <v>464.49026723470888</v>
      </c>
    </row>
    <row r="163" spans="1:11" x14ac:dyDescent="0.25">
      <c r="A163">
        <v>5.3666666666666663</v>
      </c>
      <c r="I163">
        <f t="shared" si="7"/>
        <v>466.43830056802835</v>
      </c>
    </row>
    <row r="164" spans="1:11" x14ac:dyDescent="0.25">
      <c r="A164">
        <v>5.4</v>
      </c>
      <c r="I164">
        <f t="shared" si="7"/>
        <v>468.38633390137693</v>
      </c>
    </row>
    <row r="165" spans="1:11" x14ac:dyDescent="0.25">
      <c r="A165">
        <v>5.4333333333333336</v>
      </c>
      <c r="B165">
        <v>40.568510244315647</v>
      </c>
      <c r="C165">
        <v>-31.390630942018429</v>
      </c>
      <c r="D165">
        <f t="shared" ref="D165:D179" si="8">IF(C165&gt;=0,C165,C165+360)</f>
        <v>328.60936905798155</v>
      </c>
      <c r="I165">
        <f t="shared" si="7"/>
        <v>470.3343672346964</v>
      </c>
      <c r="K165">
        <f t="shared" ref="K165:K175" si="9">D165-I165</f>
        <v>-141.72499817671485</v>
      </c>
    </row>
    <row r="166" spans="1:11" x14ac:dyDescent="0.25">
      <c r="A166">
        <v>5.4666666666666668</v>
      </c>
      <c r="B166">
        <v>40.568510244315647</v>
      </c>
      <c r="C166">
        <v>-31.390630942018429</v>
      </c>
      <c r="D166">
        <f t="shared" si="8"/>
        <v>328.60936905798155</v>
      </c>
      <c r="I166">
        <f t="shared" si="7"/>
        <v>472.28240056804498</v>
      </c>
      <c r="K166">
        <f t="shared" si="9"/>
        <v>-143.67303151006342</v>
      </c>
    </row>
    <row r="167" spans="1:11" x14ac:dyDescent="0.25">
      <c r="A167">
        <v>5.5</v>
      </c>
      <c r="B167">
        <v>40.387059303346042</v>
      </c>
      <c r="C167">
        <v>-25.58612891912831</v>
      </c>
      <c r="D167">
        <f t="shared" si="8"/>
        <v>334.41387108087167</v>
      </c>
      <c r="I167">
        <f t="shared" si="7"/>
        <v>474.23043390136445</v>
      </c>
      <c r="K167">
        <f t="shared" si="9"/>
        <v>-139.81656282049278</v>
      </c>
    </row>
    <row r="168" spans="1:11" x14ac:dyDescent="0.25">
      <c r="A168">
        <v>5.5333333333333332</v>
      </c>
      <c r="B168">
        <v>40.318571746463533</v>
      </c>
      <c r="C168">
        <v>-23.30661666655563</v>
      </c>
      <c r="D168">
        <f t="shared" si="8"/>
        <v>336.69338333344439</v>
      </c>
      <c r="I168">
        <f t="shared" si="7"/>
        <v>476.17846723468392</v>
      </c>
      <c r="K168">
        <f t="shared" si="9"/>
        <v>-139.48508390123953</v>
      </c>
    </row>
    <row r="169" spans="1:11" x14ac:dyDescent="0.25">
      <c r="A169">
        <v>5.5666666666666664</v>
      </c>
      <c r="B169">
        <v>40.318571746463533</v>
      </c>
      <c r="C169">
        <v>-23.30661666655563</v>
      </c>
      <c r="D169">
        <f t="shared" si="8"/>
        <v>336.69338333344439</v>
      </c>
      <c r="I169">
        <f t="shared" si="7"/>
        <v>478.1265005680325</v>
      </c>
      <c r="K169">
        <f t="shared" si="9"/>
        <v>-141.43311723458811</v>
      </c>
    </row>
    <row r="170" spans="1:11" x14ac:dyDescent="0.25">
      <c r="A170">
        <v>5.6</v>
      </c>
      <c r="B170">
        <v>39.907786554277642</v>
      </c>
      <c r="C170">
        <v>-19.875437791055109</v>
      </c>
      <c r="D170">
        <f t="shared" si="8"/>
        <v>340.12456220894489</v>
      </c>
      <c r="I170">
        <f t="shared" si="7"/>
        <v>480.07453390135197</v>
      </c>
      <c r="K170">
        <f t="shared" si="9"/>
        <v>-139.94997169240708</v>
      </c>
    </row>
    <row r="171" spans="1:11" x14ac:dyDescent="0.25">
      <c r="A171">
        <v>5.6333333333333329</v>
      </c>
      <c r="B171">
        <v>39.78750276501075</v>
      </c>
      <c r="C171">
        <v>-18.1092252168195</v>
      </c>
      <c r="D171">
        <f t="shared" si="8"/>
        <v>341.89077478318052</v>
      </c>
      <c r="I171">
        <f t="shared" si="7"/>
        <v>482.02256723470055</v>
      </c>
      <c r="K171">
        <f t="shared" si="9"/>
        <v>-140.13179245152003</v>
      </c>
    </row>
    <row r="172" spans="1:11" x14ac:dyDescent="0.25">
      <c r="A172">
        <v>5.666666666666667</v>
      </c>
      <c r="B172">
        <v>39.78750276501075</v>
      </c>
      <c r="C172">
        <v>-18.1092252168195</v>
      </c>
      <c r="D172">
        <f t="shared" si="8"/>
        <v>341.89077478318052</v>
      </c>
      <c r="I172">
        <f t="shared" si="7"/>
        <v>483.97060056802002</v>
      </c>
      <c r="K172">
        <f t="shared" si="9"/>
        <v>-142.0798257848395</v>
      </c>
    </row>
    <row r="173" spans="1:11" x14ac:dyDescent="0.25">
      <c r="A173">
        <v>5.7</v>
      </c>
      <c r="B173">
        <v>39.412768007626433</v>
      </c>
      <c r="C173">
        <v>-13.06782846231699</v>
      </c>
      <c r="D173">
        <f t="shared" si="8"/>
        <v>346.93217153768302</v>
      </c>
      <c r="I173">
        <f t="shared" si="7"/>
        <v>485.91863390133949</v>
      </c>
      <c r="K173">
        <f t="shared" si="9"/>
        <v>-138.98646236365647</v>
      </c>
    </row>
    <row r="174" spans="1:11" x14ac:dyDescent="0.25">
      <c r="A174">
        <v>5.7333333333333334</v>
      </c>
      <c r="B174">
        <v>39.264234933141047</v>
      </c>
      <c r="C174">
        <v>-12.831921818877911</v>
      </c>
      <c r="D174">
        <f t="shared" si="8"/>
        <v>347.1680781811221</v>
      </c>
      <c r="I174">
        <f t="shared" si="7"/>
        <v>487.86666723468807</v>
      </c>
      <c r="K174">
        <f t="shared" si="9"/>
        <v>-140.69858905356597</v>
      </c>
    </row>
    <row r="175" spans="1:11" x14ac:dyDescent="0.25">
      <c r="A175">
        <v>5.7666666666666666</v>
      </c>
      <c r="B175">
        <v>39.264234933141047</v>
      </c>
      <c r="C175">
        <v>-12.8716699923342</v>
      </c>
      <c r="D175">
        <f t="shared" si="8"/>
        <v>347.1283300076658</v>
      </c>
      <c r="I175">
        <f t="shared" si="7"/>
        <v>489.81470056803664</v>
      </c>
      <c r="K175">
        <f t="shared" si="9"/>
        <v>-142.68637056037085</v>
      </c>
    </row>
    <row r="176" spans="1:11" x14ac:dyDescent="0.25">
      <c r="A176">
        <v>5.8</v>
      </c>
      <c r="I176">
        <f t="shared" si="7"/>
        <v>491.76273390138522</v>
      </c>
    </row>
    <row r="177" spans="1:11" x14ac:dyDescent="0.25">
      <c r="A177">
        <v>5.833333333333333</v>
      </c>
      <c r="B177">
        <v>38.468526664036453</v>
      </c>
      <c r="C177">
        <v>-5.3197541925482463</v>
      </c>
      <c r="D177">
        <f t="shared" si="8"/>
        <v>354.68024580745174</v>
      </c>
      <c r="I177">
        <f t="shared" si="7"/>
        <v>493.71076723470469</v>
      </c>
      <c r="K177">
        <f>D177-I177</f>
        <v>-139.03052142725295</v>
      </c>
    </row>
    <row r="178" spans="1:11" x14ac:dyDescent="0.25">
      <c r="A178">
        <v>5.8666666666666663</v>
      </c>
      <c r="B178">
        <v>38.468526664036453</v>
      </c>
      <c r="C178">
        <v>-5.3197541925482463</v>
      </c>
      <c r="D178">
        <f t="shared" si="8"/>
        <v>354.68024580745174</v>
      </c>
      <c r="I178">
        <f t="shared" si="7"/>
        <v>495.65880056802416</v>
      </c>
      <c r="K178">
        <f>D178-I178</f>
        <v>-140.97855476057242</v>
      </c>
    </row>
    <row r="179" spans="1:11" x14ac:dyDescent="0.25">
      <c r="A179">
        <v>5.9</v>
      </c>
      <c r="B179">
        <v>38.08006754695878</v>
      </c>
      <c r="C179">
        <v>-0.76892721782172158</v>
      </c>
      <c r="D179">
        <f t="shared" si="8"/>
        <v>359.23107278217827</v>
      </c>
      <c r="I179">
        <f t="shared" si="7"/>
        <v>497.60683390137274</v>
      </c>
      <c r="K179">
        <f>D179-I179</f>
        <v>-138.37576111919446</v>
      </c>
    </row>
    <row r="180" spans="1:11" x14ac:dyDescent="0.25">
      <c r="A180">
        <v>5.9333333333333336</v>
      </c>
      <c r="I180">
        <f t="shared" si="7"/>
        <v>499.55486723469221</v>
      </c>
    </row>
    <row r="181" spans="1:11" x14ac:dyDescent="0.25">
      <c r="A181">
        <v>5.9666666666666668</v>
      </c>
      <c r="I181">
        <f t="shared" si="7"/>
        <v>501.50290056804079</v>
      </c>
    </row>
    <row r="182" spans="1:11" x14ac:dyDescent="0.25">
      <c r="A182">
        <v>6</v>
      </c>
      <c r="B182">
        <v>37.297828896928692</v>
      </c>
      <c r="C182">
        <v>4.7176334308852796</v>
      </c>
      <c r="D182">
        <f>IF(C182&gt;=0,C182,C182+360)+360</f>
        <v>364.71763343088526</v>
      </c>
      <c r="I182">
        <f t="shared" si="7"/>
        <v>503.45093390136026</v>
      </c>
      <c r="K182">
        <f t="shared" ref="K182:K194" si="10">D182-I182</f>
        <v>-138.733300470475</v>
      </c>
    </row>
    <row r="183" spans="1:11" x14ac:dyDescent="0.25">
      <c r="A183">
        <v>6.0333333333333332</v>
      </c>
      <c r="B183">
        <v>37.050699315438223</v>
      </c>
      <c r="C183">
        <v>6.5434012032989894</v>
      </c>
      <c r="D183">
        <f t="shared" ref="D183:D246" si="11">IF(C183&gt;=0,C183,C183+360)+360</f>
        <v>366.54340120329897</v>
      </c>
      <c r="I183">
        <f t="shared" si="7"/>
        <v>505.39896723467973</v>
      </c>
      <c r="K183">
        <f t="shared" si="10"/>
        <v>-138.85556603138076</v>
      </c>
    </row>
    <row r="184" spans="1:11" x14ac:dyDescent="0.25">
      <c r="A184">
        <v>6.0666666666666664</v>
      </c>
      <c r="B184">
        <v>37.022445179972642</v>
      </c>
      <c r="C184">
        <v>6.5747723681392198</v>
      </c>
      <c r="D184">
        <f t="shared" si="11"/>
        <v>366.57477236813924</v>
      </c>
      <c r="I184">
        <f t="shared" si="7"/>
        <v>507.34700056802831</v>
      </c>
      <c r="K184">
        <f t="shared" si="10"/>
        <v>-140.77222819988907</v>
      </c>
    </row>
    <row r="185" spans="1:11" x14ac:dyDescent="0.25">
      <c r="A185">
        <v>6.1</v>
      </c>
      <c r="B185">
        <v>36.430159408796783</v>
      </c>
      <c r="C185">
        <v>10.677569678998911</v>
      </c>
      <c r="D185">
        <f t="shared" si="11"/>
        <v>370.67756967899891</v>
      </c>
      <c r="I185">
        <f t="shared" si="7"/>
        <v>509.29503390134778</v>
      </c>
      <c r="K185">
        <f t="shared" si="10"/>
        <v>-138.61746422234887</v>
      </c>
    </row>
    <row r="186" spans="1:11" x14ac:dyDescent="0.25">
      <c r="A186">
        <v>6.1333333333333329</v>
      </c>
      <c r="B186">
        <v>36.066133526133292</v>
      </c>
      <c r="C186">
        <v>12.64571423778583</v>
      </c>
      <c r="D186">
        <f t="shared" si="11"/>
        <v>372.64571423778585</v>
      </c>
      <c r="I186">
        <f t="shared" si="7"/>
        <v>511.24306723469635</v>
      </c>
      <c r="K186">
        <f t="shared" si="10"/>
        <v>-138.5973529969105</v>
      </c>
    </row>
    <row r="187" spans="1:11" x14ac:dyDescent="0.25">
      <c r="A187">
        <v>6.166666666666667</v>
      </c>
      <c r="B187">
        <v>36.066133526133292</v>
      </c>
      <c r="C187">
        <v>12.64571423778583</v>
      </c>
      <c r="D187">
        <f t="shared" si="11"/>
        <v>372.64571423778585</v>
      </c>
      <c r="I187">
        <f t="shared" si="7"/>
        <v>513.19110056801583</v>
      </c>
      <c r="K187">
        <f t="shared" si="10"/>
        <v>-140.54538633022997</v>
      </c>
    </row>
    <row r="188" spans="1:11" x14ac:dyDescent="0.25">
      <c r="A188">
        <v>6.2</v>
      </c>
      <c r="B188">
        <v>35.429544296346883</v>
      </c>
      <c r="C188">
        <v>16.53144715902047</v>
      </c>
      <c r="D188">
        <f t="shared" si="11"/>
        <v>376.53144715902044</v>
      </c>
      <c r="I188">
        <f t="shared" si="7"/>
        <v>515.1391339013644</v>
      </c>
      <c r="K188">
        <f t="shared" si="10"/>
        <v>-138.60768674234396</v>
      </c>
    </row>
    <row r="189" spans="1:11" x14ac:dyDescent="0.25">
      <c r="A189">
        <v>6.2333333333333334</v>
      </c>
      <c r="B189">
        <v>35.047603797894247</v>
      </c>
      <c r="C189">
        <v>18.471919039789931</v>
      </c>
      <c r="D189">
        <f t="shared" si="11"/>
        <v>378.47191903978995</v>
      </c>
      <c r="I189">
        <f t="shared" si="7"/>
        <v>517.08716723468387</v>
      </c>
      <c r="K189">
        <f t="shared" si="10"/>
        <v>-138.61524819489392</v>
      </c>
    </row>
    <row r="190" spans="1:11" x14ac:dyDescent="0.25">
      <c r="A190">
        <v>6.2666666666666666</v>
      </c>
      <c r="B190">
        <v>35.047603797894247</v>
      </c>
      <c r="C190">
        <v>18.471919039789931</v>
      </c>
      <c r="D190">
        <f t="shared" si="11"/>
        <v>378.47191903978995</v>
      </c>
      <c r="I190">
        <f t="shared" si="7"/>
        <v>519.03520056803245</v>
      </c>
      <c r="K190">
        <f t="shared" si="10"/>
        <v>-140.5632815282425</v>
      </c>
    </row>
    <row r="191" spans="1:11" x14ac:dyDescent="0.25">
      <c r="A191">
        <v>6.3</v>
      </c>
      <c r="B191">
        <v>34.258118534679262</v>
      </c>
      <c r="C191">
        <v>22.30938272608164</v>
      </c>
      <c r="D191">
        <f t="shared" si="11"/>
        <v>382.30938272608165</v>
      </c>
      <c r="I191">
        <f t="shared" si="7"/>
        <v>520.98323390138103</v>
      </c>
      <c r="K191">
        <f t="shared" si="10"/>
        <v>-138.67385117529938</v>
      </c>
    </row>
    <row r="192" spans="1:11" x14ac:dyDescent="0.25">
      <c r="A192">
        <v>6.333333333333333</v>
      </c>
      <c r="B192">
        <v>33.97020512714095</v>
      </c>
      <c r="C192">
        <v>24.183866988658949</v>
      </c>
      <c r="D192">
        <f t="shared" si="11"/>
        <v>384.18386698865896</v>
      </c>
      <c r="I192">
        <f t="shared" si="7"/>
        <v>522.9312672347005</v>
      </c>
      <c r="K192">
        <f t="shared" si="10"/>
        <v>-138.74740024604154</v>
      </c>
    </row>
    <row r="193" spans="1:11" x14ac:dyDescent="0.25">
      <c r="A193">
        <v>6.3666666666666663</v>
      </c>
      <c r="B193">
        <v>33.97020512714095</v>
      </c>
      <c r="C193">
        <v>24.183866988658949</v>
      </c>
      <c r="D193">
        <f t="shared" si="11"/>
        <v>384.18386698865896</v>
      </c>
      <c r="I193">
        <f t="shared" si="7"/>
        <v>524.87930056804908</v>
      </c>
      <c r="K193">
        <f t="shared" si="10"/>
        <v>-140.69543357939011</v>
      </c>
    </row>
    <row r="194" spans="1:11" x14ac:dyDescent="0.25">
      <c r="A194">
        <v>6.4</v>
      </c>
      <c r="B194">
        <v>33.165456610009592</v>
      </c>
      <c r="C194">
        <v>28.026682198498381</v>
      </c>
      <c r="D194">
        <f t="shared" si="11"/>
        <v>388.02668219849841</v>
      </c>
      <c r="I194">
        <f t="shared" si="7"/>
        <v>526.82733390136855</v>
      </c>
      <c r="K194">
        <f t="shared" si="10"/>
        <v>-138.80065170287014</v>
      </c>
    </row>
    <row r="195" spans="1:11" x14ac:dyDescent="0.25">
      <c r="A195">
        <v>6.4333333333333336</v>
      </c>
      <c r="B195">
        <v>32.879279534465887</v>
      </c>
      <c r="C195">
        <v>29.90262361621846</v>
      </c>
      <c r="D195">
        <f t="shared" si="11"/>
        <v>389.90262361621848</v>
      </c>
      <c r="I195">
        <f t="shared" ref="I195:I258" si="12" xml:space="preserve"> 58.441 * (A195 +$F$8)  + 175.11 - $H$2</f>
        <v>528.77536723468802</v>
      </c>
      <c r="K195">
        <f t="shared" ref="K195:K258" si="13">D195-I195</f>
        <v>-138.87274361846954</v>
      </c>
    </row>
    <row r="196" spans="1:11" x14ac:dyDescent="0.25">
      <c r="A196">
        <v>6.4666666666666668</v>
      </c>
      <c r="B196">
        <v>32.879279534465887</v>
      </c>
      <c r="C196">
        <v>29.90262361621846</v>
      </c>
      <c r="D196">
        <f t="shared" si="11"/>
        <v>389.90262361621848</v>
      </c>
      <c r="I196">
        <f t="shared" si="12"/>
        <v>530.7234005680366</v>
      </c>
      <c r="K196">
        <f t="shared" si="13"/>
        <v>-140.82077695181812</v>
      </c>
    </row>
    <row r="197" spans="1:11" x14ac:dyDescent="0.25">
      <c r="A197">
        <v>6.5</v>
      </c>
      <c r="B197">
        <v>32.070255243495012</v>
      </c>
      <c r="C197">
        <v>33.650314658449282</v>
      </c>
      <c r="D197">
        <f t="shared" si="11"/>
        <v>393.6503146584493</v>
      </c>
      <c r="I197">
        <f t="shared" si="12"/>
        <v>532.67143390135607</v>
      </c>
      <c r="K197">
        <f t="shared" si="13"/>
        <v>-139.02111924290676</v>
      </c>
    </row>
    <row r="198" spans="1:11" x14ac:dyDescent="0.25">
      <c r="A198">
        <v>6.5333333333333332</v>
      </c>
      <c r="B198">
        <v>31.72960279817044</v>
      </c>
      <c r="C198">
        <v>35.56477444338153</v>
      </c>
      <c r="D198">
        <f t="shared" si="11"/>
        <v>395.56477444338151</v>
      </c>
      <c r="I198">
        <f t="shared" si="12"/>
        <v>534.61946723470464</v>
      </c>
      <c r="K198">
        <f t="shared" si="13"/>
        <v>-139.05469279132313</v>
      </c>
    </row>
    <row r="199" spans="1:11" x14ac:dyDescent="0.25">
      <c r="A199">
        <v>6.5666666666666664</v>
      </c>
      <c r="B199">
        <v>31.682648763506169</v>
      </c>
      <c r="C199">
        <v>35.561526258638018</v>
      </c>
      <c r="D199">
        <f t="shared" si="11"/>
        <v>395.56152625863803</v>
      </c>
      <c r="I199">
        <f t="shared" si="12"/>
        <v>536.56750056802412</v>
      </c>
      <c r="K199">
        <f t="shared" si="13"/>
        <v>-141.00597430938609</v>
      </c>
    </row>
    <row r="200" spans="1:11" x14ac:dyDescent="0.25">
      <c r="A200">
        <v>6.6</v>
      </c>
      <c r="B200">
        <v>31.06046501550934</v>
      </c>
      <c r="C200">
        <v>39.339632434131559</v>
      </c>
      <c r="D200">
        <f t="shared" si="11"/>
        <v>399.33963243413154</v>
      </c>
      <c r="I200">
        <f t="shared" si="12"/>
        <v>538.51553390134359</v>
      </c>
      <c r="K200">
        <f t="shared" si="13"/>
        <v>-139.17590146721204</v>
      </c>
    </row>
    <row r="201" spans="1:11" x14ac:dyDescent="0.25">
      <c r="A201">
        <v>6.6333333333333329</v>
      </c>
      <c r="B201">
        <v>30.603439937285781</v>
      </c>
      <c r="C201">
        <v>41.241795958641802</v>
      </c>
      <c r="D201">
        <f t="shared" si="11"/>
        <v>401.24179595864177</v>
      </c>
      <c r="I201">
        <f t="shared" si="12"/>
        <v>540.46356723469216</v>
      </c>
      <c r="K201">
        <f t="shared" si="13"/>
        <v>-139.22177127605039</v>
      </c>
    </row>
    <row r="202" spans="1:11" x14ac:dyDescent="0.25">
      <c r="A202">
        <v>6.666666666666667</v>
      </c>
      <c r="B202">
        <v>30.603439937285781</v>
      </c>
      <c r="C202">
        <v>41.241795958641802</v>
      </c>
      <c r="D202">
        <f t="shared" si="11"/>
        <v>401.24179595864177</v>
      </c>
      <c r="I202">
        <f t="shared" si="12"/>
        <v>542.41160056801164</v>
      </c>
      <c r="K202">
        <f t="shared" si="13"/>
        <v>-141.16980460936986</v>
      </c>
    </row>
    <row r="203" spans="1:11" x14ac:dyDescent="0.25">
      <c r="A203">
        <v>6.7</v>
      </c>
      <c r="B203">
        <v>29.634571843676831</v>
      </c>
      <c r="C203">
        <v>44.877228667279823</v>
      </c>
      <c r="D203">
        <f t="shared" si="11"/>
        <v>404.87722866727984</v>
      </c>
      <c r="I203">
        <f t="shared" si="12"/>
        <v>544.35963390136021</v>
      </c>
      <c r="K203">
        <f t="shared" si="13"/>
        <v>-139.48240523408037</v>
      </c>
    </row>
    <row r="204" spans="1:11" x14ac:dyDescent="0.25">
      <c r="A204">
        <v>6.7333333333333334</v>
      </c>
      <c r="B204">
        <v>29.346500299005321</v>
      </c>
      <c r="C204">
        <v>46.722339571297958</v>
      </c>
      <c r="D204">
        <f t="shared" si="11"/>
        <v>406.72233957129794</v>
      </c>
      <c r="I204">
        <f t="shared" si="12"/>
        <v>546.30766723467968</v>
      </c>
      <c r="K204">
        <f t="shared" si="13"/>
        <v>-139.58532766338175</v>
      </c>
    </row>
    <row r="205" spans="1:11" x14ac:dyDescent="0.25">
      <c r="A205">
        <v>6.7666666666666666</v>
      </c>
      <c r="B205">
        <v>29.346500299005321</v>
      </c>
      <c r="C205">
        <v>46.722339571297958</v>
      </c>
      <c r="D205">
        <f t="shared" si="11"/>
        <v>406.72233957129794</v>
      </c>
      <c r="I205">
        <f t="shared" si="12"/>
        <v>548.25570056802826</v>
      </c>
      <c r="K205">
        <f t="shared" si="13"/>
        <v>-141.53336099673032</v>
      </c>
    </row>
    <row r="206" spans="1:11" x14ac:dyDescent="0.25">
      <c r="A206">
        <v>6.8</v>
      </c>
      <c r="B206">
        <v>28.419701289792808</v>
      </c>
      <c r="C206">
        <v>50.391767656581102</v>
      </c>
      <c r="D206">
        <f t="shared" si="11"/>
        <v>410.39176765658112</v>
      </c>
      <c r="I206">
        <f t="shared" si="12"/>
        <v>550.20373390137684</v>
      </c>
      <c r="K206">
        <f t="shared" si="13"/>
        <v>-139.81196624479571</v>
      </c>
    </row>
    <row r="207" spans="1:11" x14ac:dyDescent="0.25">
      <c r="A207">
        <v>6.833333333333333</v>
      </c>
      <c r="B207">
        <v>27.951864958333381</v>
      </c>
      <c r="C207">
        <v>52.179680925558898</v>
      </c>
      <c r="D207">
        <f t="shared" si="11"/>
        <v>412.1796809255589</v>
      </c>
      <c r="I207">
        <f t="shared" si="12"/>
        <v>552.15176723469631</v>
      </c>
      <c r="K207">
        <f t="shared" si="13"/>
        <v>-139.97208630913741</v>
      </c>
    </row>
    <row r="208" spans="1:11" x14ac:dyDescent="0.25">
      <c r="A208">
        <v>6.8666666666666663</v>
      </c>
      <c r="B208">
        <v>27.951864958333381</v>
      </c>
      <c r="C208">
        <v>52.179680925558898</v>
      </c>
      <c r="D208">
        <f t="shared" si="11"/>
        <v>412.1796809255589</v>
      </c>
      <c r="I208">
        <f t="shared" si="12"/>
        <v>554.09980056804488</v>
      </c>
      <c r="K208">
        <f t="shared" si="13"/>
        <v>-141.92011964248599</v>
      </c>
    </row>
    <row r="209" spans="1:11" x14ac:dyDescent="0.25">
      <c r="A209">
        <v>6.8999999999999986</v>
      </c>
      <c r="B209">
        <v>27.239725073268009</v>
      </c>
      <c r="C209">
        <v>55.91533113121033</v>
      </c>
      <c r="D209">
        <f t="shared" si="11"/>
        <v>415.91533113121034</v>
      </c>
      <c r="I209">
        <f t="shared" si="12"/>
        <v>556.04783390136436</v>
      </c>
      <c r="K209">
        <f t="shared" si="13"/>
        <v>-140.13250277015402</v>
      </c>
    </row>
    <row r="210" spans="1:11" x14ac:dyDescent="0.25">
      <c r="A210">
        <v>6.9333333333333336</v>
      </c>
      <c r="B210">
        <v>26.513794842708059</v>
      </c>
      <c r="C210">
        <v>57.758267528406883</v>
      </c>
      <c r="D210">
        <f t="shared" si="11"/>
        <v>417.75826752840686</v>
      </c>
      <c r="I210">
        <f t="shared" si="12"/>
        <v>557.99586723471293</v>
      </c>
      <c r="K210">
        <f t="shared" si="13"/>
        <v>-140.23759970630607</v>
      </c>
    </row>
    <row r="211" spans="1:11" x14ac:dyDescent="0.25">
      <c r="A211">
        <v>6.9666666666666668</v>
      </c>
      <c r="B211">
        <v>26.513794842708059</v>
      </c>
      <c r="C211">
        <v>57.784216504360032</v>
      </c>
      <c r="D211">
        <f t="shared" si="11"/>
        <v>417.78421650436002</v>
      </c>
      <c r="I211">
        <f t="shared" si="12"/>
        <v>559.9439005680324</v>
      </c>
      <c r="K211">
        <f t="shared" si="13"/>
        <v>-142.15968406367239</v>
      </c>
    </row>
    <row r="212" spans="1:11" x14ac:dyDescent="0.25">
      <c r="A212">
        <v>7</v>
      </c>
      <c r="B212">
        <v>25.940318149601278</v>
      </c>
      <c r="C212">
        <v>61.546900740006024</v>
      </c>
      <c r="D212">
        <f t="shared" si="11"/>
        <v>421.54690074000604</v>
      </c>
      <c r="I212">
        <f t="shared" si="12"/>
        <v>561.89193390135188</v>
      </c>
      <c r="K212">
        <f t="shared" si="13"/>
        <v>-140.34503316134584</v>
      </c>
    </row>
    <row r="213" spans="1:11" x14ac:dyDescent="0.25">
      <c r="A213">
        <v>7.0333333333333332</v>
      </c>
      <c r="B213">
        <v>25.557275109928419</v>
      </c>
      <c r="C213">
        <v>60.775456306691339</v>
      </c>
      <c r="D213">
        <f t="shared" si="11"/>
        <v>420.77545630669135</v>
      </c>
      <c r="I213">
        <f t="shared" si="12"/>
        <v>563.83996723470045</v>
      </c>
      <c r="K213">
        <f t="shared" si="13"/>
        <v>-143.0645109280091</v>
      </c>
    </row>
    <row r="214" spans="1:11" x14ac:dyDescent="0.25">
      <c r="A214">
        <v>7.0666666666666664</v>
      </c>
      <c r="B214">
        <v>25.557275109928419</v>
      </c>
      <c r="C214">
        <v>60.775456306691339</v>
      </c>
      <c r="D214">
        <f t="shared" si="11"/>
        <v>420.77545630669135</v>
      </c>
      <c r="I214">
        <f t="shared" si="12"/>
        <v>565.78800056801992</v>
      </c>
      <c r="K214">
        <f t="shared" si="13"/>
        <v>-145.01254426132857</v>
      </c>
    </row>
    <row r="215" spans="1:11" x14ac:dyDescent="0.25">
      <c r="A215">
        <v>7.1</v>
      </c>
      <c r="B215">
        <v>14.34830000831372</v>
      </c>
      <c r="C215">
        <v>67.082290824282325</v>
      </c>
      <c r="D215">
        <f t="shared" si="11"/>
        <v>427.08229082428232</v>
      </c>
      <c r="I215">
        <f t="shared" si="12"/>
        <v>567.7360339013685</v>
      </c>
      <c r="K215">
        <f t="shared" si="13"/>
        <v>-140.65374307708618</v>
      </c>
    </row>
    <row r="216" spans="1:11" x14ac:dyDescent="0.25">
      <c r="A216">
        <v>7.1333333333333329</v>
      </c>
      <c r="B216">
        <v>14.74980803633631</v>
      </c>
      <c r="C216">
        <v>68.945103396473769</v>
      </c>
      <c r="D216">
        <f t="shared" si="11"/>
        <v>428.94510339647377</v>
      </c>
      <c r="I216">
        <f t="shared" si="12"/>
        <v>569.68406723468797</v>
      </c>
      <c r="K216">
        <f t="shared" si="13"/>
        <v>-140.7389638382142</v>
      </c>
    </row>
    <row r="217" spans="1:11" x14ac:dyDescent="0.25">
      <c r="A217">
        <v>7.166666666666667</v>
      </c>
      <c r="B217">
        <v>14.74980803633631</v>
      </c>
      <c r="C217">
        <v>68.945103396473769</v>
      </c>
      <c r="D217">
        <f t="shared" si="11"/>
        <v>428.94510339647377</v>
      </c>
      <c r="I217">
        <f t="shared" si="12"/>
        <v>571.63210056800744</v>
      </c>
      <c r="K217">
        <f t="shared" si="13"/>
        <v>-142.68699717153368</v>
      </c>
    </row>
    <row r="218" spans="1:11" x14ac:dyDescent="0.25">
      <c r="A218">
        <v>7.2</v>
      </c>
      <c r="B218">
        <v>15.40742743923885</v>
      </c>
      <c r="C218">
        <v>72.678612791985913</v>
      </c>
      <c r="D218">
        <f t="shared" si="11"/>
        <v>432.67861279198593</v>
      </c>
      <c r="I218">
        <f t="shared" si="12"/>
        <v>573.58013390135602</v>
      </c>
      <c r="K218">
        <f t="shared" si="13"/>
        <v>-140.90152110937009</v>
      </c>
    </row>
    <row r="219" spans="1:11" x14ac:dyDescent="0.25">
      <c r="A219">
        <v>7.2333333333333334</v>
      </c>
      <c r="B219">
        <v>15.736564502895559</v>
      </c>
      <c r="C219">
        <v>74.507387271574487</v>
      </c>
      <c r="D219">
        <f t="shared" si="11"/>
        <v>434.50738727157449</v>
      </c>
      <c r="I219">
        <f t="shared" si="12"/>
        <v>575.52816723467549</v>
      </c>
      <c r="K219">
        <f t="shared" si="13"/>
        <v>-141.02077996310101</v>
      </c>
    </row>
    <row r="220" spans="1:11" x14ac:dyDescent="0.25">
      <c r="A220">
        <v>7.2666666666666666</v>
      </c>
      <c r="B220">
        <v>15.736564502895559</v>
      </c>
      <c r="C220">
        <v>74.525907645225047</v>
      </c>
      <c r="D220">
        <f t="shared" si="11"/>
        <v>434.52590764522506</v>
      </c>
      <c r="I220">
        <f t="shared" si="12"/>
        <v>577.47620056805317</v>
      </c>
      <c r="K220">
        <f t="shared" si="13"/>
        <v>-142.95029292282811</v>
      </c>
    </row>
    <row r="221" spans="1:11" x14ac:dyDescent="0.25">
      <c r="A221">
        <v>7.3</v>
      </c>
      <c r="B221">
        <v>16.456735134307731</v>
      </c>
      <c r="C221">
        <v>78.187251492441874</v>
      </c>
      <c r="D221">
        <f t="shared" si="11"/>
        <v>438.18725149244187</v>
      </c>
      <c r="I221">
        <f t="shared" si="12"/>
        <v>579.42423390137265</v>
      </c>
      <c r="K221">
        <f t="shared" si="13"/>
        <v>-141.23698240893077</v>
      </c>
    </row>
    <row r="222" spans="1:11" x14ac:dyDescent="0.25">
      <c r="A222">
        <v>7.333333333333333</v>
      </c>
      <c r="B222">
        <v>16.86470008723208</v>
      </c>
      <c r="C222">
        <v>80.001487859001855</v>
      </c>
      <c r="D222">
        <f t="shared" si="11"/>
        <v>440.00148785900183</v>
      </c>
      <c r="I222">
        <f t="shared" si="12"/>
        <v>581.37226723469212</v>
      </c>
      <c r="K222">
        <f t="shared" si="13"/>
        <v>-141.37077937569029</v>
      </c>
    </row>
    <row r="223" spans="1:11" x14ac:dyDescent="0.25">
      <c r="A223">
        <v>7.3666666666666663</v>
      </c>
      <c r="B223">
        <v>16.86470008723208</v>
      </c>
      <c r="C223">
        <v>80.001487859001855</v>
      </c>
      <c r="D223">
        <f t="shared" si="11"/>
        <v>440.00148785900183</v>
      </c>
      <c r="I223">
        <f t="shared" si="12"/>
        <v>583.32030056804069</v>
      </c>
      <c r="K223">
        <f t="shared" si="13"/>
        <v>-143.31881270903887</v>
      </c>
    </row>
    <row r="224" spans="1:11" x14ac:dyDescent="0.25">
      <c r="A224">
        <v>7.3999999999999986</v>
      </c>
      <c r="B224">
        <v>17.621623061178251</v>
      </c>
      <c r="C224">
        <v>83.680331142885507</v>
      </c>
      <c r="D224">
        <f t="shared" si="11"/>
        <v>443.68033114288551</v>
      </c>
      <c r="I224">
        <f t="shared" si="12"/>
        <v>585.26833390136017</v>
      </c>
      <c r="K224">
        <f t="shared" si="13"/>
        <v>-141.58800275847466</v>
      </c>
    </row>
    <row r="225" spans="1:11" x14ac:dyDescent="0.25">
      <c r="A225">
        <v>7.4333333333333336</v>
      </c>
      <c r="B225">
        <v>17.725935627275049</v>
      </c>
      <c r="C225">
        <v>85.597372013024668</v>
      </c>
      <c r="D225">
        <f t="shared" si="11"/>
        <v>445.59737201302465</v>
      </c>
      <c r="I225">
        <f t="shared" si="12"/>
        <v>587.21636723470874</v>
      </c>
      <c r="K225">
        <f t="shared" si="13"/>
        <v>-141.61899522168409</v>
      </c>
    </row>
    <row r="226" spans="1:11" x14ac:dyDescent="0.25">
      <c r="A226">
        <v>7.4666666666666668</v>
      </c>
      <c r="B226">
        <v>17.725935627275049</v>
      </c>
      <c r="C226">
        <v>85.587722208576409</v>
      </c>
      <c r="D226">
        <f t="shared" si="11"/>
        <v>445.58772220857639</v>
      </c>
      <c r="I226">
        <f t="shared" si="12"/>
        <v>589.16440056802821</v>
      </c>
      <c r="K226">
        <f t="shared" si="13"/>
        <v>-143.57667835945182</v>
      </c>
    </row>
    <row r="227" spans="1:11" x14ac:dyDescent="0.25">
      <c r="A227">
        <v>7.5</v>
      </c>
      <c r="B227">
        <v>18.822635537012999</v>
      </c>
      <c r="C227">
        <v>89.377275819331743</v>
      </c>
      <c r="D227">
        <f t="shared" si="11"/>
        <v>449.37727581933177</v>
      </c>
      <c r="I227">
        <f t="shared" si="12"/>
        <v>591.11243390137679</v>
      </c>
      <c r="K227">
        <f t="shared" si="13"/>
        <v>-141.73515808204502</v>
      </c>
    </row>
    <row r="228" spans="1:11" x14ac:dyDescent="0.25">
      <c r="A228">
        <v>7.5333333333333332</v>
      </c>
      <c r="B228">
        <v>18.579253785273519</v>
      </c>
      <c r="C228">
        <v>90.820506327183409</v>
      </c>
      <c r="D228">
        <f t="shared" si="11"/>
        <v>450.82050632718341</v>
      </c>
      <c r="I228">
        <f t="shared" si="12"/>
        <v>593.06046723469626</v>
      </c>
      <c r="K228">
        <f t="shared" si="13"/>
        <v>-142.23996090751285</v>
      </c>
    </row>
    <row r="229" spans="1:11" x14ac:dyDescent="0.25">
      <c r="A229">
        <v>7.5666666666666664</v>
      </c>
      <c r="B229">
        <v>18.579253785273519</v>
      </c>
      <c r="C229">
        <v>90.820506327183409</v>
      </c>
      <c r="D229">
        <f t="shared" si="11"/>
        <v>450.82050632718341</v>
      </c>
      <c r="I229">
        <f t="shared" si="12"/>
        <v>595.00850056801573</v>
      </c>
      <c r="K229">
        <f t="shared" si="13"/>
        <v>-144.18799424083232</v>
      </c>
    </row>
    <row r="230" spans="1:11" x14ac:dyDescent="0.25">
      <c r="A230">
        <v>7.6</v>
      </c>
      <c r="B230">
        <v>19.256096463557551</v>
      </c>
      <c r="C230">
        <v>94.704474858852294</v>
      </c>
      <c r="D230">
        <f t="shared" si="11"/>
        <v>454.70447485885228</v>
      </c>
      <c r="I230">
        <f t="shared" si="12"/>
        <v>596.95653390136431</v>
      </c>
      <c r="K230">
        <f t="shared" si="13"/>
        <v>-142.25205904251203</v>
      </c>
    </row>
    <row r="231" spans="1:11" x14ac:dyDescent="0.25">
      <c r="A231">
        <v>7.6333333333333329</v>
      </c>
      <c r="B231">
        <v>19.256096463557551</v>
      </c>
      <c r="C231">
        <v>96.565297898859114</v>
      </c>
      <c r="D231">
        <f t="shared" si="11"/>
        <v>456.56529789885911</v>
      </c>
      <c r="I231">
        <f t="shared" si="12"/>
        <v>598.90456723468378</v>
      </c>
      <c r="K231">
        <f t="shared" si="13"/>
        <v>-142.33926933582467</v>
      </c>
    </row>
    <row r="232" spans="1:11" x14ac:dyDescent="0.25">
      <c r="A232">
        <v>7.666666666666667</v>
      </c>
      <c r="B232">
        <v>19.256096463557551</v>
      </c>
      <c r="C232">
        <v>96.565297898859114</v>
      </c>
      <c r="D232">
        <f t="shared" si="11"/>
        <v>456.56529789885911</v>
      </c>
      <c r="I232">
        <f t="shared" si="12"/>
        <v>600.85260056803236</v>
      </c>
      <c r="K232">
        <f t="shared" si="13"/>
        <v>-144.28730266917324</v>
      </c>
    </row>
    <row r="233" spans="1:11" x14ac:dyDescent="0.25">
      <c r="A233">
        <v>7.7</v>
      </c>
      <c r="B233">
        <v>18.988196790894179</v>
      </c>
      <c r="C233">
        <v>100.13275256044381</v>
      </c>
      <c r="D233">
        <f t="shared" si="11"/>
        <v>460.13275256044381</v>
      </c>
      <c r="I233">
        <f t="shared" si="12"/>
        <v>602.80063390135183</v>
      </c>
      <c r="K233">
        <f t="shared" si="13"/>
        <v>-142.66788134090802</v>
      </c>
    </row>
    <row r="234" spans="1:11" x14ac:dyDescent="0.25">
      <c r="A234">
        <v>7.7333333333333334</v>
      </c>
      <c r="B234">
        <v>18.822635537012999</v>
      </c>
      <c r="C234">
        <v>101.9858725056434</v>
      </c>
      <c r="D234">
        <f t="shared" si="11"/>
        <v>461.98587250564339</v>
      </c>
      <c r="I234">
        <f t="shared" si="12"/>
        <v>604.7486672346713</v>
      </c>
      <c r="K234">
        <f t="shared" si="13"/>
        <v>-142.76279472902792</v>
      </c>
    </row>
    <row r="235" spans="1:11" x14ac:dyDescent="0.25">
      <c r="A235">
        <v>7.7666666666666666</v>
      </c>
      <c r="B235">
        <v>18.822635537012999</v>
      </c>
      <c r="C235">
        <v>101.9858725056434</v>
      </c>
      <c r="D235">
        <f t="shared" si="11"/>
        <v>461.98587250564339</v>
      </c>
      <c r="I235">
        <f t="shared" si="12"/>
        <v>606.69670056804898</v>
      </c>
      <c r="K235">
        <f t="shared" si="13"/>
        <v>-144.7108280624056</v>
      </c>
    </row>
    <row r="236" spans="1:11" x14ac:dyDescent="0.25">
      <c r="A236">
        <v>7.8</v>
      </c>
      <c r="B236">
        <v>18.367794979607361</v>
      </c>
      <c r="C236">
        <v>105.5982068097773</v>
      </c>
      <c r="D236">
        <f t="shared" si="11"/>
        <v>465.59820680977731</v>
      </c>
      <c r="I236">
        <f t="shared" si="12"/>
        <v>608.64473390136845</v>
      </c>
      <c r="K236">
        <f t="shared" si="13"/>
        <v>-143.04652709159114</v>
      </c>
    </row>
    <row r="237" spans="1:11" x14ac:dyDescent="0.25">
      <c r="A237">
        <v>7.833333333333333</v>
      </c>
      <c r="B237">
        <v>18.20922097316101</v>
      </c>
      <c r="C237">
        <v>107.4200138042906</v>
      </c>
      <c r="D237">
        <f t="shared" si="11"/>
        <v>467.42001380429059</v>
      </c>
      <c r="I237">
        <f t="shared" si="12"/>
        <v>610.59276723471703</v>
      </c>
      <c r="K237">
        <f t="shared" si="13"/>
        <v>-143.17275343042644</v>
      </c>
    </row>
    <row r="238" spans="1:11" x14ac:dyDescent="0.25">
      <c r="A238">
        <v>7.8666666666666663</v>
      </c>
      <c r="B238">
        <v>18.20922097316101</v>
      </c>
      <c r="C238">
        <v>107.4200138042906</v>
      </c>
      <c r="D238">
        <f t="shared" si="11"/>
        <v>467.42001380429059</v>
      </c>
      <c r="I238">
        <f t="shared" si="12"/>
        <v>612.5408005680365</v>
      </c>
      <c r="K238">
        <f t="shared" si="13"/>
        <v>-145.12078676374591</v>
      </c>
    </row>
    <row r="239" spans="1:11" x14ac:dyDescent="0.25">
      <c r="A239">
        <v>7.8999999999999986</v>
      </c>
      <c r="B239">
        <v>17.895318643023359</v>
      </c>
      <c r="C239">
        <v>111.18580343917399</v>
      </c>
      <c r="D239">
        <f t="shared" si="11"/>
        <v>471.18580343917398</v>
      </c>
      <c r="I239">
        <f t="shared" si="12"/>
        <v>614.48883390135597</v>
      </c>
      <c r="K239">
        <f t="shared" si="13"/>
        <v>-143.30303046218199</v>
      </c>
    </row>
    <row r="240" spans="1:11" x14ac:dyDescent="0.25">
      <c r="A240">
        <v>7.9333333333333336</v>
      </c>
      <c r="B240">
        <v>17.608995508583781</v>
      </c>
      <c r="C240">
        <v>112.96074496806899</v>
      </c>
      <c r="D240">
        <f t="shared" si="11"/>
        <v>472.96074496806898</v>
      </c>
      <c r="I240">
        <f t="shared" si="12"/>
        <v>616.43686723470455</v>
      </c>
      <c r="K240">
        <f t="shared" si="13"/>
        <v>-143.47612226663557</v>
      </c>
    </row>
    <row r="241" spans="1:11" x14ac:dyDescent="0.25">
      <c r="A241">
        <v>7.9666666666666668</v>
      </c>
      <c r="B241">
        <v>17.608995508583781</v>
      </c>
      <c r="C241">
        <v>112.96074496806899</v>
      </c>
      <c r="D241">
        <f t="shared" si="11"/>
        <v>472.96074496806898</v>
      </c>
      <c r="I241">
        <f t="shared" si="12"/>
        <v>618.38490056802402</v>
      </c>
      <c r="K241">
        <f t="shared" si="13"/>
        <v>-145.42415559995504</v>
      </c>
    </row>
    <row r="242" spans="1:11" x14ac:dyDescent="0.25">
      <c r="A242">
        <v>8</v>
      </c>
      <c r="B242">
        <v>17.24245157017728</v>
      </c>
      <c r="C242">
        <v>116.73985257632189</v>
      </c>
      <c r="D242">
        <f t="shared" si="11"/>
        <v>476.73985257632188</v>
      </c>
      <c r="I242">
        <f t="shared" si="12"/>
        <v>620.3329339013726</v>
      </c>
      <c r="K242">
        <f t="shared" si="13"/>
        <v>-143.59308132505072</v>
      </c>
    </row>
    <row r="243" spans="1:11" x14ac:dyDescent="0.25">
      <c r="A243">
        <v>8.0333333333333332</v>
      </c>
      <c r="B243">
        <v>17.00310936956955</v>
      </c>
      <c r="C243">
        <v>118.53371138779831</v>
      </c>
      <c r="D243">
        <f t="shared" si="11"/>
        <v>478.53371138779829</v>
      </c>
      <c r="I243">
        <f t="shared" si="12"/>
        <v>622.28096723469207</v>
      </c>
      <c r="K243">
        <f t="shared" si="13"/>
        <v>-143.74725584689378</v>
      </c>
    </row>
    <row r="244" spans="1:11" x14ac:dyDescent="0.25">
      <c r="A244">
        <v>8.0666666666666664</v>
      </c>
      <c r="B244">
        <v>17.00310936956955</v>
      </c>
      <c r="C244">
        <v>118.53371138779831</v>
      </c>
      <c r="D244">
        <f t="shared" si="11"/>
        <v>478.53371138779829</v>
      </c>
      <c r="I244">
        <f t="shared" si="12"/>
        <v>624.22900056801154</v>
      </c>
      <c r="K244">
        <f t="shared" si="13"/>
        <v>-145.69528918021325</v>
      </c>
    </row>
    <row r="245" spans="1:11" x14ac:dyDescent="0.25">
      <c r="A245">
        <v>8.1</v>
      </c>
      <c r="B245">
        <v>16.733311301154</v>
      </c>
      <c r="C245">
        <v>122.3191143410294</v>
      </c>
      <c r="D245">
        <f t="shared" si="11"/>
        <v>482.31911434102938</v>
      </c>
      <c r="I245">
        <f t="shared" si="12"/>
        <v>626.17703390136012</v>
      </c>
      <c r="K245">
        <f t="shared" si="13"/>
        <v>-143.85791956033074</v>
      </c>
    </row>
    <row r="246" spans="1:11" x14ac:dyDescent="0.25">
      <c r="A246">
        <v>8.1333333333333329</v>
      </c>
      <c r="B246">
        <v>16.567407674090649</v>
      </c>
      <c r="C246">
        <v>123.9762201142522</v>
      </c>
      <c r="D246">
        <f t="shared" si="11"/>
        <v>483.97622011425221</v>
      </c>
      <c r="I246">
        <f t="shared" si="12"/>
        <v>628.12506723467959</v>
      </c>
      <c r="K246">
        <f t="shared" si="13"/>
        <v>-144.14884712042738</v>
      </c>
    </row>
    <row r="247" spans="1:11" x14ac:dyDescent="0.25">
      <c r="A247">
        <v>8.1666666666666661</v>
      </c>
      <c r="B247">
        <v>16.567407674090649</v>
      </c>
      <c r="C247">
        <v>123.9673824580663</v>
      </c>
      <c r="D247">
        <f t="shared" ref="D247:D293" si="14">IF(C247&gt;=0,C247,C247+360)+360</f>
        <v>483.96738245806631</v>
      </c>
      <c r="I247">
        <f t="shared" si="12"/>
        <v>630.07310056802817</v>
      </c>
      <c r="K247">
        <f t="shared" si="13"/>
        <v>-146.10571810996186</v>
      </c>
    </row>
    <row r="248" spans="1:11" x14ac:dyDescent="0.25">
      <c r="A248">
        <v>8.1999999999999993</v>
      </c>
      <c r="B248">
        <v>16.464504326321251</v>
      </c>
      <c r="C248">
        <v>127.4067711803349</v>
      </c>
      <c r="D248">
        <f t="shared" si="14"/>
        <v>487.40677118033489</v>
      </c>
      <c r="I248">
        <f t="shared" si="12"/>
        <v>632.02113390134764</v>
      </c>
      <c r="K248">
        <f t="shared" si="13"/>
        <v>-144.61436272101275</v>
      </c>
    </row>
    <row r="249" spans="1:11" x14ac:dyDescent="0.25">
      <c r="A249">
        <v>8.2333333333333325</v>
      </c>
      <c r="B249">
        <v>16.35001026613244</v>
      </c>
      <c r="C249">
        <v>129.39454751111211</v>
      </c>
      <c r="D249">
        <f t="shared" si="14"/>
        <v>489.39454751111214</v>
      </c>
      <c r="I249">
        <f t="shared" si="12"/>
        <v>633.96916723469622</v>
      </c>
      <c r="K249">
        <f t="shared" si="13"/>
        <v>-144.57461972358408</v>
      </c>
    </row>
    <row r="250" spans="1:11" x14ac:dyDescent="0.25">
      <c r="A250">
        <v>8.2666666666666657</v>
      </c>
      <c r="B250">
        <v>16.35001026613244</v>
      </c>
      <c r="C250">
        <v>129.40829314514059</v>
      </c>
      <c r="D250">
        <f t="shared" si="14"/>
        <v>489.40829314514059</v>
      </c>
      <c r="I250">
        <f t="shared" si="12"/>
        <v>635.91720056804479</v>
      </c>
      <c r="K250">
        <f t="shared" si="13"/>
        <v>-146.5089074229042</v>
      </c>
    </row>
    <row r="251" spans="1:11" x14ac:dyDescent="0.25">
      <c r="A251">
        <v>8.3000000000000007</v>
      </c>
      <c r="B251">
        <v>16.225163442615209</v>
      </c>
      <c r="C251">
        <v>132.73047625136229</v>
      </c>
      <c r="D251">
        <f t="shared" si="14"/>
        <v>492.73047625136229</v>
      </c>
      <c r="I251">
        <f t="shared" si="12"/>
        <v>637.86523390136426</v>
      </c>
      <c r="K251">
        <f t="shared" si="13"/>
        <v>-145.13475765000197</v>
      </c>
    </row>
    <row r="252" spans="1:11" x14ac:dyDescent="0.25">
      <c r="A252">
        <v>8.3333333333333339</v>
      </c>
      <c r="B252">
        <v>15.94895418646278</v>
      </c>
      <c r="C252">
        <v>134.59153554586689</v>
      </c>
      <c r="D252">
        <f t="shared" si="14"/>
        <v>494.59153554586692</v>
      </c>
      <c r="I252">
        <f t="shared" si="12"/>
        <v>639.81326723471284</v>
      </c>
      <c r="K252">
        <f t="shared" si="13"/>
        <v>-145.22173168884592</v>
      </c>
    </row>
    <row r="253" spans="1:11" x14ac:dyDescent="0.25">
      <c r="A253">
        <v>8.3666666666666671</v>
      </c>
      <c r="B253">
        <v>15.94895418646278</v>
      </c>
      <c r="C253">
        <v>134.59153554586689</v>
      </c>
      <c r="D253">
        <f t="shared" si="14"/>
        <v>494.59153554586692</v>
      </c>
      <c r="I253">
        <f t="shared" si="12"/>
        <v>641.76130056803231</v>
      </c>
      <c r="K253">
        <f t="shared" si="13"/>
        <v>-147.16976502216539</v>
      </c>
    </row>
    <row r="254" spans="1:11" x14ac:dyDescent="0.25">
      <c r="A254">
        <v>8.4</v>
      </c>
      <c r="B254">
        <v>15.98227371464985</v>
      </c>
      <c r="C254">
        <v>137.99957012695549</v>
      </c>
      <c r="D254">
        <f t="shared" si="14"/>
        <v>497.99957012695552</v>
      </c>
      <c r="I254">
        <f t="shared" si="12"/>
        <v>643.70933390138089</v>
      </c>
      <c r="K254">
        <f t="shared" si="13"/>
        <v>-145.70976377442537</v>
      </c>
    </row>
    <row r="255" spans="1:11" x14ac:dyDescent="0.25">
      <c r="A255">
        <v>8.4333333333333336</v>
      </c>
      <c r="B255">
        <v>15.94895418646278</v>
      </c>
      <c r="C255">
        <v>139.8762643286228</v>
      </c>
      <c r="D255">
        <f t="shared" si="14"/>
        <v>499.87626432862282</v>
      </c>
      <c r="I255">
        <f t="shared" si="12"/>
        <v>645.65736723470036</v>
      </c>
      <c r="K255">
        <f t="shared" si="13"/>
        <v>-145.78110290607754</v>
      </c>
    </row>
    <row r="256" spans="1:11" x14ac:dyDescent="0.25">
      <c r="A256">
        <v>8.4666666666666668</v>
      </c>
      <c r="B256">
        <v>15.94895418646278</v>
      </c>
      <c r="C256">
        <v>139.96439760997839</v>
      </c>
      <c r="D256">
        <f t="shared" si="14"/>
        <v>499.96439760997839</v>
      </c>
      <c r="I256">
        <f t="shared" si="12"/>
        <v>647.60540056801983</v>
      </c>
      <c r="K256">
        <f t="shared" si="13"/>
        <v>-147.64100295804144</v>
      </c>
    </row>
    <row r="257" spans="1:11" x14ac:dyDescent="0.25">
      <c r="A257">
        <v>8.5</v>
      </c>
      <c r="B257">
        <v>15.922525954828719</v>
      </c>
      <c r="C257">
        <v>143.13036329119791</v>
      </c>
      <c r="D257">
        <f t="shared" si="14"/>
        <v>503.13036329119791</v>
      </c>
      <c r="I257">
        <f t="shared" si="12"/>
        <v>649.55343390136841</v>
      </c>
      <c r="K257">
        <f t="shared" si="13"/>
        <v>-146.4230706101705</v>
      </c>
    </row>
    <row r="258" spans="1:11" x14ac:dyDescent="0.25">
      <c r="A258">
        <v>8.5333333333333332</v>
      </c>
      <c r="B258">
        <v>15.922525954828719</v>
      </c>
      <c r="C258">
        <v>145.23383758117529</v>
      </c>
      <c r="D258">
        <f t="shared" si="14"/>
        <v>505.23383758117529</v>
      </c>
      <c r="I258">
        <f t="shared" si="12"/>
        <v>651.50146723468788</v>
      </c>
      <c r="K258">
        <f t="shared" si="13"/>
        <v>-146.26762965351259</v>
      </c>
    </row>
    <row r="259" spans="1:11" x14ac:dyDescent="0.25">
      <c r="A259">
        <v>8.5666666666666664</v>
      </c>
      <c r="B259">
        <v>15.922525954828719</v>
      </c>
      <c r="C259">
        <v>145.23383758117529</v>
      </c>
      <c r="D259">
        <f t="shared" si="14"/>
        <v>505.23383758117529</v>
      </c>
      <c r="I259">
        <f t="shared" ref="I259:I293" si="15" xml:space="preserve"> 58.441 * (A259 +$F$8)  + 175.11 - $H$2</f>
        <v>653.44950056803646</v>
      </c>
      <c r="K259">
        <f t="shared" ref="K259:K271" si="16">D259-I259</f>
        <v>-148.21566298686116</v>
      </c>
    </row>
    <row r="260" spans="1:11" x14ac:dyDescent="0.25">
      <c r="A260">
        <v>8.6</v>
      </c>
      <c r="B260">
        <v>16.091123673311031</v>
      </c>
      <c r="C260">
        <v>148.53504045162521</v>
      </c>
      <c r="D260">
        <f t="shared" si="14"/>
        <v>508.53504045162521</v>
      </c>
      <c r="I260">
        <f t="shared" si="15"/>
        <v>655.39753390135593</v>
      </c>
      <c r="K260">
        <f t="shared" si="16"/>
        <v>-146.86249344973072</v>
      </c>
    </row>
    <row r="261" spans="1:11" x14ac:dyDescent="0.25">
      <c r="A261">
        <v>8.6333333333333329</v>
      </c>
      <c r="B261">
        <v>16.175140775788179</v>
      </c>
      <c r="C261">
        <v>150.17234266933411</v>
      </c>
      <c r="D261">
        <f t="shared" si="14"/>
        <v>510.17234266933411</v>
      </c>
      <c r="I261">
        <f t="shared" si="15"/>
        <v>657.3455672346754</v>
      </c>
      <c r="K261">
        <f t="shared" si="16"/>
        <v>-147.17322456534129</v>
      </c>
    </row>
    <row r="262" spans="1:11" x14ac:dyDescent="0.25">
      <c r="A262">
        <v>8.6666666666666661</v>
      </c>
      <c r="B262">
        <v>16.175140775788179</v>
      </c>
      <c r="C262">
        <v>150.1946409288181</v>
      </c>
      <c r="D262">
        <f t="shared" si="14"/>
        <v>510.1946409288181</v>
      </c>
      <c r="I262">
        <f t="shared" si="15"/>
        <v>659.29360056802398</v>
      </c>
      <c r="K262">
        <f t="shared" si="16"/>
        <v>-149.09895963920587</v>
      </c>
    </row>
    <row r="263" spans="1:11" x14ac:dyDescent="0.25">
      <c r="A263">
        <v>8.6999999999999993</v>
      </c>
      <c r="B263">
        <v>16.35001026613244</v>
      </c>
      <c r="C263">
        <v>153.72534248339571</v>
      </c>
      <c r="D263">
        <f t="shared" si="14"/>
        <v>513.72534248339571</v>
      </c>
      <c r="I263">
        <f t="shared" si="15"/>
        <v>661.24163390134345</v>
      </c>
      <c r="K263">
        <f t="shared" si="16"/>
        <v>-147.51629141794774</v>
      </c>
    </row>
    <row r="264" spans="1:11" x14ac:dyDescent="0.25">
      <c r="A264">
        <v>8.7333333333333325</v>
      </c>
      <c r="B264">
        <v>16.456735134307731</v>
      </c>
      <c r="C264">
        <v>155.54870645946369</v>
      </c>
      <c r="D264">
        <f t="shared" si="14"/>
        <v>515.54870645946369</v>
      </c>
      <c r="I264">
        <f t="shared" si="15"/>
        <v>663.18966723469202</v>
      </c>
      <c r="K264">
        <f t="shared" si="16"/>
        <v>-147.64096077522834</v>
      </c>
    </row>
    <row r="265" spans="1:11" x14ac:dyDescent="0.25">
      <c r="A265">
        <v>8.7666666666666657</v>
      </c>
      <c r="B265">
        <v>16.456735134307731</v>
      </c>
      <c r="C265">
        <v>155.54870645946369</v>
      </c>
      <c r="D265">
        <f t="shared" si="14"/>
        <v>515.54870645946369</v>
      </c>
      <c r="I265">
        <f t="shared" si="15"/>
        <v>665.1377005680406</v>
      </c>
      <c r="K265">
        <f t="shared" si="16"/>
        <v>-149.58899410857691</v>
      </c>
    </row>
    <row r="266" spans="1:11" x14ac:dyDescent="0.25">
      <c r="A266">
        <v>8.8000000000000007</v>
      </c>
      <c r="B266">
        <v>16.733311301154</v>
      </c>
      <c r="C266">
        <v>159.03651253509409</v>
      </c>
      <c r="D266">
        <f t="shared" si="14"/>
        <v>519.03651253509406</v>
      </c>
      <c r="I266">
        <f t="shared" si="15"/>
        <v>667.08573390136007</v>
      </c>
      <c r="K266">
        <f t="shared" si="16"/>
        <v>-148.04922136626601</v>
      </c>
    </row>
    <row r="267" spans="1:11" x14ac:dyDescent="0.25">
      <c r="A267">
        <v>8.8333333333333339</v>
      </c>
      <c r="B267">
        <v>16.837895105463311</v>
      </c>
      <c r="C267">
        <v>160.94508451943719</v>
      </c>
      <c r="D267">
        <f t="shared" si="14"/>
        <v>520.94508451943716</v>
      </c>
      <c r="I267">
        <f t="shared" si="15"/>
        <v>669.03376723470865</v>
      </c>
      <c r="K267">
        <f t="shared" si="16"/>
        <v>-148.08868271527149</v>
      </c>
    </row>
    <row r="268" spans="1:11" x14ac:dyDescent="0.25">
      <c r="A268">
        <v>8.8666666666666671</v>
      </c>
      <c r="B268">
        <v>16.837895105463311</v>
      </c>
      <c r="C268">
        <v>160.90377683408531</v>
      </c>
      <c r="D268">
        <f t="shared" si="14"/>
        <v>520.90377683408531</v>
      </c>
      <c r="I268">
        <f t="shared" si="15"/>
        <v>670.98180056802812</v>
      </c>
      <c r="K268">
        <f t="shared" si="16"/>
        <v>-150.07802373394281</v>
      </c>
    </row>
    <row r="269" spans="1:11" x14ac:dyDescent="0.25">
      <c r="A269">
        <v>8.9</v>
      </c>
      <c r="B269">
        <v>17.051012186787862</v>
      </c>
      <c r="C269">
        <v>164.47752426617069</v>
      </c>
      <c r="D269">
        <f t="shared" si="14"/>
        <v>524.47752426617069</v>
      </c>
      <c r="I269">
        <f t="shared" si="15"/>
        <v>672.9298339013767</v>
      </c>
      <c r="K269">
        <f t="shared" si="16"/>
        <v>-148.45230963520601</v>
      </c>
    </row>
    <row r="270" spans="1:11" x14ac:dyDescent="0.25">
      <c r="A270">
        <v>8.9333333333333336</v>
      </c>
      <c r="B270">
        <v>17.33914634813474</v>
      </c>
      <c r="C270">
        <v>166.29930364420241</v>
      </c>
      <c r="D270">
        <f t="shared" si="14"/>
        <v>526.29930364420238</v>
      </c>
      <c r="I270">
        <f t="shared" si="15"/>
        <v>674.87786723469617</v>
      </c>
      <c r="K270">
        <f t="shared" si="16"/>
        <v>-148.57856359049379</v>
      </c>
    </row>
    <row r="271" spans="1:11" x14ac:dyDescent="0.25">
      <c r="A271">
        <v>8.9666666666666668</v>
      </c>
      <c r="B271">
        <v>17.33914634813474</v>
      </c>
      <c r="C271">
        <v>166.29930364420241</v>
      </c>
      <c r="D271">
        <f t="shared" si="14"/>
        <v>526.29930364420238</v>
      </c>
      <c r="I271">
        <f t="shared" si="15"/>
        <v>676.82590056804474</v>
      </c>
      <c r="K271">
        <f t="shared" si="16"/>
        <v>-150.52659692384236</v>
      </c>
    </row>
    <row r="272" spans="1:11" x14ac:dyDescent="0.25">
      <c r="A272">
        <v>9</v>
      </c>
      <c r="I272">
        <f t="shared" si="15"/>
        <v>678.77393390136422</v>
      </c>
    </row>
    <row r="273" spans="1:11" x14ac:dyDescent="0.25">
      <c r="A273">
        <v>9.0333333333333332</v>
      </c>
      <c r="B273">
        <v>18.154670257619959</v>
      </c>
      <c r="C273">
        <v>171.51940393737311</v>
      </c>
      <c r="D273">
        <f t="shared" si="14"/>
        <v>531.51940393737311</v>
      </c>
      <c r="I273">
        <f t="shared" si="15"/>
        <v>680.72196723468369</v>
      </c>
      <c r="K273">
        <f>D273-I273</f>
        <v>-149.20256329731058</v>
      </c>
    </row>
    <row r="274" spans="1:11" x14ac:dyDescent="0.25">
      <c r="A274">
        <v>9.0666666666666664</v>
      </c>
      <c r="B274">
        <v>18.154670257619959</v>
      </c>
      <c r="C274">
        <v>171.47854852300031</v>
      </c>
      <c r="D274">
        <f t="shared" si="14"/>
        <v>531.47854852300031</v>
      </c>
      <c r="I274">
        <f t="shared" si="15"/>
        <v>682.67000056803226</v>
      </c>
      <c r="K274">
        <f>D274-I274</f>
        <v>-151.19145204503195</v>
      </c>
    </row>
    <row r="275" spans="1:11" x14ac:dyDescent="0.25">
      <c r="A275">
        <v>9.1</v>
      </c>
      <c r="I275">
        <f t="shared" si="15"/>
        <v>684.61803390135174</v>
      </c>
    </row>
    <row r="276" spans="1:11" x14ac:dyDescent="0.25">
      <c r="A276">
        <v>9.1333333333333329</v>
      </c>
      <c r="B276">
        <v>18.822635537012999</v>
      </c>
      <c r="C276">
        <v>177.46972116088219</v>
      </c>
      <c r="D276">
        <f t="shared" si="14"/>
        <v>537.46972116088216</v>
      </c>
      <c r="I276">
        <f t="shared" si="15"/>
        <v>686.56606723470031</v>
      </c>
      <c r="K276">
        <f>D276-I276</f>
        <v>-149.09634607381815</v>
      </c>
    </row>
    <row r="277" spans="1:11" x14ac:dyDescent="0.25">
      <c r="A277">
        <v>9.1666666666666661</v>
      </c>
      <c r="I277">
        <f t="shared" si="15"/>
        <v>688.51410056801978</v>
      </c>
    </row>
    <row r="278" spans="1:11" x14ac:dyDescent="0.25">
      <c r="A278">
        <v>9.1999999999999993</v>
      </c>
      <c r="B278">
        <v>19.256096463557551</v>
      </c>
      <c r="C278">
        <v>-179.6385091693362</v>
      </c>
      <c r="D278">
        <f t="shared" si="14"/>
        <v>540.3614908306638</v>
      </c>
      <c r="I278">
        <f t="shared" si="15"/>
        <v>690.46213390133926</v>
      </c>
      <c r="K278">
        <f t="shared" ref="K278:K293" si="17">D278-I278</f>
        <v>-150.10064307067546</v>
      </c>
    </row>
    <row r="279" spans="1:11" x14ac:dyDescent="0.25">
      <c r="A279">
        <v>9.2333333333333325</v>
      </c>
      <c r="B279">
        <v>19.689582201326839</v>
      </c>
      <c r="C279">
        <v>-177.83094769942591</v>
      </c>
      <c r="D279">
        <f t="shared" si="14"/>
        <v>542.16905230057409</v>
      </c>
      <c r="I279">
        <f t="shared" si="15"/>
        <v>692.41016723468783</v>
      </c>
      <c r="K279">
        <f t="shared" si="17"/>
        <v>-150.24111493411374</v>
      </c>
    </row>
    <row r="280" spans="1:11" x14ac:dyDescent="0.25">
      <c r="A280">
        <v>9.2666666666666657</v>
      </c>
      <c r="B280">
        <v>19.689582201326839</v>
      </c>
      <c r="C280">
        <v>-177.8178317580155</v>
      </c>
      <c r="D280">
        <f t="shared" si="14"/>
        <v>542.18216824198453</v>
      </c>
      <c r="I280">
        <f t="shared" si="15"/>
        <v>694.35820056803641</v>
      </c>
      <c r="K280">
        <f t="shared" si="17"/>
        <v>-152.17603232605188</v>
      </c>
    </row>
    <row r="281" spans="1:11" x14ac:dyDescent="0.25">
      <c r="A281">
        <v>9.3000000000000007</v>
      </c>
      <c r="B281">
        <v>20.123043127871409</v>
      </c>
      <c r="C281">
        <v>-174.09257450381409</v>
      </c>
      <c r="D281">
        <f t="shared" si="14"/>
        <v>545.90742549618585</v>
      </c>
      <c r="I281">
        <f t="shared" si="15"/>
        <v>696.30623390138499</v>
      </c>
      <c r="K281">
        <f t="shared" si="17"/>
        <v>-150.39880840519913</v>
      </c>
    </row>
    <row r="282" spans="1:11" x14ac:dyDescent="0.25">
      <c r="A282">
        <v>9.3333333333333339</v>
      </c>
      <c r="B282">
        <v>20.339748783652539</v>
      </c>
      <c r="C282">
        <v>-172.51747432432219</v>
      </c>
      <c r="D282">
        <f t="shared" si="14"/>
        <v>547.48252567567783</v>
      </c>
      <c r="I282">
        <f t="shared" si="15"/>
        <v>698.25426723470446</v>
      </c>
      <c r="K282">
        <f t="shared" si="17"/>
        <v>-150.77174155902662</v>
      </c>
    </row>
    <row r="283" spans="1:11" x14ac:dyDescent="0.25">
      <c r="A283">
        <v>9.3666666666666671</v>
      </c>
      <c r="B283">
        <v>20.339748783652539</v>
      </c>
      <c r="C283">
        <v>-172.50139945352771</v>
      </c>
      <c r="D283">
        <f t="shared" si="14"/>
        <v>547.49860054647229</v>
      </c>
      <c r="I283">
        <f t="shared" si="15"/>
        <v>700.20230056802393</v>
      </c>
      <c r="K283">
        <f t="shared" si="17"/>
        <v>-152.70370002155164</v>
      </c>
    </row>
    <row r="284" spans="1:11" x14ac:dyDescent="0.25">
      <c r="A284">
        <v>9.4</v>
      </c>
      <c r="B284">
        <v>21.050360021861049</v>
      </c>
      <c r="C284">
        <v>-169.02522325681161</v>
      </c>
      <c r="D284">
        <f t="shared" si="14"/>
        <v>550.97477674318839</v>
      </c>
      <c r="I284">
        <f t="shared" si="15"/>
        <v>702.15033390137251</v>
      </c>
      <c r="K284">
        <f t="shared" si="17"/>
        <v>-151.17555715818412</v>
      </c>
    </row>
    <row r="285" spans="1:11" x14ac:dyDescent="0.25">
      <c r="A285">
        <v>9.4333333333333336</v>
      </c>
      <c r="B285">
        <v>21.219743037609351</v>
      </c>
      <c r="C285">
        <v>-167.13688796915571</v>
      </c>
      <c r="D285">
        <f t="shared" si="14"/>
        <v>552.86311203084426</v>
      </c>
      <c r="I285">
        <f t="shared" si="15"/>
        <v>704.09836723469198</v>
      </c>
      <c r="K285">
        <f t="shared" si="17"/>
        <v>-151.23525520384771</v>
      </c>
    </row>
    <row r="286" spans="1:11" x14ac:dyDescent="0.25">
      <c r="A286">
        <v>9.4666666666666668</v>
      </c>
      <c r="B286">
        <v>21.219743037609351</v>
      </c>
      <c r="C286">
        <v>-167.0707825622425</v>
      </c>
      <c r="D286">
        <f t="shared" si="14"/>
        <v>552.92921743775753</v>
      </c>
      <c r="I286">
        <f t="shared" si="15"/>
        <v>706.04640056804055</v>
      </c>
      <c r="K286">
        <f t="shared" si="17"/>
        <v>-153.11718313028302</v>
      </c>
    </row>
    <row r="287" spans="1:11" x14ac:dyDescent="0.25">
      <c r="A287">
        <v>9.5</v>
      </c>
      <c r="B287">
        <v>21.894666478096539</v>
      </c>
      <c r="C287">
        <v>-163.6446960909087</v>
      </c>
      <c r="D287">
        <f t="shared" si="14"/>
        <v>556.35530390909128</v>
      </c>
      <c r="I287">
        <f t="shared" si="15"/>
        <v>707.99443390136003</v>
      </c>
      <c r="K287">
        <f t="shared" si="17"/>
        <v>-151.63912999226875</v>
      </c>
    </row>
    <row r="288" spans="1:11" x14ac:dyDescent="0.25">
      <c r="A288">
        <v>9.5333333333333332</v>
      </c>
      <c r="B288">
        <v>22.288241903355619</v>
      </c>
      <c r="C288">
        <v>-161.55339301017349</v>
      </c>
      <c r="D288">
        <f t="shared" si="14"/>
        <v>558.44660698982648</v>
      </c>
      <c r="I288">
        <f t="shared" si="15"/>
        <v>709.9424672347086</v>
      </c>
      <c r="K288">
        <f t="shared" si="17"/>
        <v>-151.49586024488212</v>
      </c>
    </row>
    <row r="289" spans="1:11" x14ac:dyDescent="0.25">
      <c r="A289">
        <v>9.5666666666666664</v>
      </c>
      <c r="B289">
        <v>22.288241903355619</v>
      </c>
      <c r="C289">
        <v>-161.58223136575251</v>
      </c>
      <c r="D289">
        <f t="shared" si="14"/>
        <v>558.41776863424752</v>
      </c>
      <c r="I289">
        <f t="shared" si="15"/>
        <v>711.89050056802807</v>
      </c>
      <c r="K289">
        <f t="shared" si="17"/>
        <v>-153.47273193378055</v>
      </c>
    </row>
    <row r="290" spans="1:11" x14ac:dyDescent="0.25">
      <c r="A290">
        <v>9.6</v>
      </c>
      <c r="B290">
        <v>22.963404950234551</v>
      </c>
      <c r="C290">
        <v>-158.0425281708176</v>
      </c>
      <c r="D290">
        <f t="shared" si="14"/>
        <v>561.9574718291824</v>
      </c>
      <c r="I290">
        <f t="shared" si="15"/>
        <v>713.83853390134755</v>
      </c>
      <c r="K290">
        <f t="shared" si="17"/>
        <v>-151.88106207216515</v>
      </c>
    </row>
    <row r="291" spans="1:11" x14ac:dyDescent="0.25">
      <c r="A291">
        <v>9.6333333333333329</v>
      </c>
      <c r="B291">
        <v>23.344170013644991</v>
      </c>
      <c r="C291">
        <v>-156.38689168638959</v>
      </c>
      <c r="D291">
        <f t="shared" si="14"/>
        <v>563.61310831361038</v>
      </c>
      <c r="I291">
        <f t="shared" si="15"/>
        <v>715.78656723469612</v>
      </c>
      <c r="K291">
        <f t="shared" si="17"/>
        <v>-152.17345892108574</v>
      </c>
    </row>
    <row r="292" spans="1:11" x14ac:dyDescent="0.25">
      <c r="A292">
        <v>9.6666666666666661</v>
      </c>
      <c r="B292">
        <v>23.344170013644991</v>
      </c>
      <c r="C292">
        <v>-156.33365488404871</v>
      </c>
      <c r="D292">
        <f t="shared" si="14"/>
        <v>563.66634511595134</v>
      </c>
      <c r="I292">
        <f t="shared" si="15"/>
        <v>717.73460056801559</v>
      </c>
      <c r="K292">
        <f t="shared" si="17"/>
        <v>-154.06825545206425</v>
      </c>
    </row>
    <row r="293" spans="1:11" x14ac:dyDescent="0.25">
      <c r="A293">
        <v>9.6999999999999993</v>
      </c>
      <c r="B293">
        <v>24.220447365632509</v>
      </c>
      <c r="C293">
        <v>-152.57145012704001</v>
      </c>
      <c r="D293">
        <f t="shared" si="14"/>
        <v>567.42854987296005</v>
      </c>
      <c r="I293">
        <f t="shared" si="15"/>
        <v>719.68263390136417</v>
      </c>
      <c r="K293">
        <f t="shared" si="17"/>
        <v>-152.25408402840412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EA65-661C-4EDB-B4D0-4CB1580EECD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att6</vt:lpstr>
      <vt:lpstr>att7</vt:lpstr>
      <vt:lpstr>att9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Elías Alberto Obreque Sepúlveda (elias.obreque)</cp:lastModifiedBy>
  <dcterms:created xsi:type="dcterms:W3CDTF">2024-03-19T17:44:10Z</dcterms:created>
  <dcterms:modified xsi:type="dcterms:W3CDTF">2024-04-05T07:27:20Z</dcterms:modified>
</cp:coreProperties>
</file>